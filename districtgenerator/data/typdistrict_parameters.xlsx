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ycharmProjects\districtgenerator\districtgenerator\data\"/>
    </mc:Choice>
  </mc:AlternateContent>
  <xr:revisionPtr revIDLastSave="0" documentId="13_ncr:1_{2B0F1B52-63FF-4FBF-B32B-00B08FFE0E43}" xr6:coauthVersionLast="47" xr6:coauthVersionMax="47" xr10:uidLastSave="{00000000-0000-0000-0000-000000000000}"/>
  <bookViews>
    <workbookView xWindow="11835" yWindow="-16335" windowWidth="29040" windowHeight="15720" xr2:uid="{00000000-000D-0000-FFFF-FFFF00000000}"/>
  </bookViews>
  <sheets>
    <sheet name="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<sst xmlns="http://schemas.openxmlformats.org/spreadsheetml/2006/main" count="69" uniqueCount="69">
  <si>
    <t>Siedlungstyp</t>
  </si>
  <si>
    <t>Min Geschoss-flächenzahl</t>
  </si>
  <si>
    <t>Max Geschoss-flächenzahl</t>
  </si>
  <si>
    <t>Min Grund-flächenzahl</t>
  </si>
  <si>
    <t>Max Grund-flächenzahl</t>
  </si>
  <si>
    <t>Min Gebäude pro ha</t>
  </si>
  <si>
    <t>Max Gebäude pro ha</t>
  </si>
  <si>
    <t>Min Länge der Netzstrahlabschnitte (m)</t>
  </si>
  <si>
    <t>Max Länge der Netzstrahlabschnitte (m)</t>
  </si>
  <si>
    <t>Mittelwert Abstand benachbarter Hausanschlüsse  (m)</t>
  </si>
  <si>
    <t>Min Abstand benachbarter Hausanschlüsse  (m)</t>
  </si>
  <si>
    <t>Max Abstand benachbarter Hausanschlüsse  (m)</t>
  </si>
  <si>
    <t>Min HA-Leitungen (m)</t>
  </si>
  <si>
    <t>Max HA-Leitungen (m)</t>
  </si>
  <si>
    <t>Mittelwert Seitenverhältnis (B/L)</t>
  </si>
  <si>
    <t>Min Seitenverhältnis (B/L)</t>
  </si>
  <si>
    <t>Max Seitenverhältnis (B/L)</t>
  </si>
  <si>
    <t>Gebäudealtersverteilung vor 1919 (%)</t>
  </si>
  <si>
    <t>Gebäudealtersverteilung 1919 - 1949 (%)</t>
  </si>
  <si>
    <t>Gebäudealtersverteilung 1950 - 1959 (%)</t>
  </si>
  <si>
    <t>Gebäudealtersverteilung 1960 - 1969 (%)</t>
  </si>
  <si>
    <t>Gebäudealtersverteilung 1970 - 1979 (%)</t>
  </si>
  <si>
    <t>Gebäudealtersverteilung 1980 - 1989 (%)</t>
  </si>
  <si>
    <t>Gebäudealtersverteilung 1990 - 1999 (%)</t>
  </si>
  <si>
    <t>Gebäudealtersverteilung 2000 - 2005 (%)</t>
  </si>
  <si>
    <t>Gebäudealtersverteilung 2006 - 2009 (%)</t>
  </si>
  <si>
    <t>Gebäudealtersverteilung 2010 - 2019 (%)</t>
  </si>
  <si>
    <t>Unsaniert (%)</t>
  </si>
  <si>
    <t>Teilsaniert (%)</t>
  </si>
  <si>
    <t>Vollsaniert (%)</t>
  </si>
  <si>
    <t>EFH Anteil (%)</t>
  </si>
  <si>
    <t>MFH Anteil (%)</t>
  </si>
  <si>
    <t>Max Anzahl Vollgeschosse</t>
  </si>
  <si>
    <t>OSM Anteil OB an NRB (%)</t>
  </si>
  <si>
    <t>OSM Anteil SC an NRB (%)</t>
  </si>
  <si>
    <t>OSM Anteil RE an NRB (%)</t>
  </si>
  <si>
    <t>OSM Anteil GS an NRB (%)</t>
  </si>
  <si>
    <t>OSM Anteil UNI an NRB (%)</t>
  </si>
  <si>
    <t>OSM Anteil HOSPITAL an NRB (%)</t>
  </si>
  <si>
    <t>OSM Anteil CULTURE an NRB (%)</t>
  </si>
  <si>
    <t>OSM Anteil SPORT an NRB (%)</t>
  </si>
  <si>
    <t>OSM Anteil RETAIL an NRB (%)</t>
  </si>
  <si>
    <t>OSM Anteil WORKSHOP an NRB (%)</t>
  </si>
  <si>
    <t>OSM Nichtwohnnutzung (%)</t>
  </si>
  <si>
    <t>OSM Mischnutzung (%)</t>
  </si>
  <si>
    <t>OSM Wohnnutzung (%)</t>
  </si>
  <si>
    <t>A</t>
  </si>
  <si>
    <t>Streusiedlungen</t>
  </si>
  <si>
    <t>B</t>
  </si>
  <si>
    <t>Dörfliche Bebauung</t>
  </si>
  <si>
    <t>C</t>
  </si>
  <si>
    <t>Wohnbebauung niedriger Dichte</t>
  </si>
  <si>
    <t>D</t>
  </si>
  <si>
    <t>Wohnbebauung mittlerer Dichte</t>
  </si>
  <si>
    <t>E</t>
  </si>
  <si>
    <t>Reihenhausbebauung</t>
  </si>
  <si>
    <t>F</t>
  </si>
  <si>
    <t>Zeilenbebauung mittlerer Dichte</t>
  </si>
  <si>
    <t>G</t>
  </si>
  <si>
    <t>Zeilenbebauung hoher Dichte und Hochhäuser</t>
  </si>
  <si>
    <t>H</t>
  </si>
  <si>
    <t>Blockbebauung</t>
  </si>
  <si>
    <t>I</t>
  </si>
  <si>
    <t>Innenstadt</t>
  </si>
  <si>
    <t>Quelle:</t>
  </si>
  <si>
    <t>J. Scheffler, Bestimmung der maximal zulässigen Netzanschlussleistung photovoltaischer Energiewandlungsanlagen in Wohnsiedlungsgebieten, Dissertation, Technische Universität Chemnitz, 2002.</t>
  </si>
  <si>
    <t>Fraunhofer UMSICHT &amp; GWI Essen, Integrierte Betrachtung von Strom-, Gas- und Wärmesystemen zur modellbasierten Optimierung des Energieausgleichs- und Transportbedarfs
 innerhalb der deutschen Energienetze, Version 1.1, Oberhausen/Essen, 2020.</t>
  </si>
  <si>
    <t>S. Metzger, K. Jahnke, N. Walikewitz, 
M. Otto, A. Grondey und S. Fritz,
Wohnen und Sanieren: 
Empirische Wohngebäudedaten 
seit 2002. 
Hintergrundbericht, Climate Change 22/2019, Umweltbundesamt, 2019.</t>
  </si>
  <si>
    <t>Dettmar, J., Drebes, C. &amp; Sieber, S. (Hrsg.), 2020.
Energetische Stadtraumtypen: Strukturelle und
energetische Kennwerte von Stadträumen. 2.,
überarb. und erw. Aufl. Stuttgart: Fraunhofer IRB
Verlag.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</si>
</sst>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8" xfId="0" applyNumberFormat="1" applyBorder="1"/>
    <xf numFmtId="2" fontId="0" fillId="0" borderId="6" xfId="0" applyNumberFormat="1" applyBorder="1"/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"/>
  <sheetViews>
    <sheetView tabSelected="1" topLeftCell="AH1" workbookViewId="0">
      <selection activeCell="H13" sqref="H13"/>
    </sheetView>
  </sheetViews>
  <sheetFormatPr baseColWidth="10" defaultColWidth="10.6640625" defaultRowHeight="14.4" x14ac:dyDescent="0.3"/>
  <cols>
    <col min="2" max="4" width="24.6640625" customWidth="1"/>
    <col min="5" max="5" width="13.109375" customWidth="1"/>
    <col min="6" max="6" width="13.33203125" customWidth="1"/>
    <col min="9" max="9" width="12.33203125" customWidth="1"/>
    <col min="10" max="10" width="16" customWidth="1"/>
    <col min="11" max="11" width="14.33203125" customWidth="1"/>
    <col min="12" max="12" width="14.5546875" customWidth="1"/>
    <col min="13" max="13" width="18.6640625" customWidth="1"/>
    <col min="14" max="14" width="13.109375" customWidth="1"/>
    <col min="15" max="15" width="15" customWidth="1"/>
    <col min="38" max="39" width="17.33203125" customWidth="1"/>
    <col min="40" max="40" width="17.109375" customWidth="1"/>
    <col min="41" max="41" width="16.88671875" customWidth="1"/>
    <col min="42" max="42" width="19" customWidth="1"/>
  </cols>
  <sheetData>
    <row r="1" spans="1:47" ht="72" customHeight="1" x14ac:dyDescent="0.3">
      <c r="B1" s="12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2" t="s">
        <v>6</v>
      </c>
      <c r="I1" s="5" t="s">
        <v>7</v>
      </c>
      <c r="J1" s="2" t="s">
        <v>8</v>
      </c>
      <c r="K1" s="1" t="s">
        <v>9</v>
      </c>
      <c r="L1" s="5" t="s">
        <v>10</v>
      </c>
      <c r="M1" s="2" t="s">
        <v>11</v>
      </c>
      <c r="N1" s="1" t="s">
        <v>12</v>
      </c>
      <c r="O1" s="2" t="s">
        <v>13</v>
      </c>
      <c r="P1" s="1" t="s">
        <v>14</v>
      </c>
      <c r="Q1" s="5" t="s">
        <v>15</v>
      </c>
      <c r="R1" s="2" t="s">
        <v>16</v>
      </c>
      <c r="S1" s="1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2" t="s">
        <v>26</v>
      </c>
      <c r="AC1" s="1" t="s">
        <v>27</v>
      </c>
      <c r="AD1" s="5" t="s">
        <v>28</v>
      </c>
      <c r="AE1" s="5" t="s">
        <v>29</v>
      </c>
      <c r="AF1" s="22" t="s">
        <v>30</v>
      </c>
      <c r="AG1" s="23" t="s">
        <v>31</v>
      </c>
      <c r="AH1" s="24" t="s">
        <v>32</v>
      </c>
      <c r="AI1" s="1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2" t="s">
        <v>42</v>
      </c>
      <c r="AS1" s="1" t="s">
        <v>43</v>
      </c>
      <c r="AT1" s="5" t="s">
        <v>44</v>
      </c>
      <c r="AU1" s="2" t="s">
        <v>45</v>
      </c>
    </row>
    <row r="2" spans="1:47" ht="28.8" customHeight="1" x14ac:dyDescent="0.3">
      <c r="A2" t="s">
        <v>46</v>
      </c>
      <c r="B2" s="18" t="s">
        <v>47</v>
      </c>
      <c r="C2" s="3">
        <v>2.5000000000000001E-2</v>
      </c>
      <c r="D2" s="4">
        <v>0.15</v>
      </c>
      <c r="E2" s="3">
        <v>0.03</v>
      </c>
      <c r="F2" s="4">
        <v>0.12</v>
      </c>
      <c r="G2" s="3">
        <v>2</v>
      </c>
      <c r="H2" s="4">
        <v>5</v>
      </c>
      <c r="I2">
        <v>100</v>
      </c>
      <c r="J2" s="7">
        <v>700</v>
      </c>
      <c r="K2" s="3">
        <v>55</v>
      </c>
      <c r="L2" s="18">
        <v>25</v>
      </c>
      <c r="M2" s="4">
        <v>110</v>
      </c>
      <c r="N2" s="6">
        <v>8</v>
      </c>
      <c r="O2" s="7">
        <v>20</v>
      </c>
      <c r="P2" s="3">
        <v>0.53</v>
      </c>
      <c r="Q2" s="18">
        <f t="shared" ref="Q2:Q10" si="0">P2*2-R2</f>
        <v>0.32000000000000006</v>
      </c>
      <c r="R2" s="4">
        <v>0.74</v>
      </c>
      <c r="S2" s="6">
        <v>0</v>
      </c>
      <c r="T2">
        <v>37.5</v>
      </c>
      <c r="U2">
        <v>42.5</v>
      </c>
      <c r="V2">
        <v>17.5</v>
      </c>
      <c r="W2">
        <v>2.5</v>
      </c>
      <c r="X2">
        <v>0</v>
      </c>
      <c r="Y2">
        <v>0</v>
      </c>
      <c r="Z2">
        <v>0</v>
      </c>
      <c r="AA2">
        <v>0</v>
      </c>
      <c r="AB2" s="7">
        <v>0</v>
      </c>
      <c r="AC2" s="6">
        <v>35.9</v>
      </c>
      <c r="AD2">
        <v>51.4</v>
      </c>
      <c r="AE2">
        <v>4.3</v>
      </c>
      <c r="AF2" s="6">
        <v>67</v>
      </c>
      <c r="AG2" s="7">
        <v>33</v>
      </c>
      <c r="AH2">
        <v>3.5</v>
      </c>
      <c r="AI2" s="13">
        <v>40.909999999999997</v>
      </c>
      <c r="AJ2" s="19">
        <v>0</v>
      </c>
      <c r="AK2" s="19">
        <v>13.64</v>
      </c>
      <c r="AL2" s="19">
        <v>4.55</v>
      </c>
      <c r="AM2" s="19">
        <v>0</v>
      </c>
      <c r="AN2" s="19">
        <v>0</v>
      </c>
      <c r="AO2" s="19">
        <v>13.64</v>
      </c>
      <c r="AP2" s="19">
        <v>4.55</v>
      </c>
      <c r="AQ2" s="19">
        <v>13.64</v>
      </c>
      <c r="AR2" s="14">
        <v>9.09</v>
      </c>
      <c r="AS2" s="13">
        <v>13.21</v>
      </c>
      <c r="AT2" s="19">
        <v>0</v>
      </c>
      <c r="AU2" s="14">
        <v>86.79</v>
      </c>
    </row>
    <row r="3" spans="1:47" ht="28.8" customHeight="1" x14ac:dyDescent="0.3">
      <c r="A3" t="s">
        <v>48</v>
      </c>
      <c r="B3" s="18" t="s">
        <v>49</v>
      </c>
      <c r="C3" s="3">
        <v>0.05</v>
      </c>
      <c r="D3" s="4">
        <v>0.3</v>
      </c>
      <c r="E3" s="3">
        <v>0.05</v>
      </c>
      <c r="F3" s="4">
        <v>0.2</v>
      </c>
      <c r="G3" s="3">
        <v>2</v>
      </c>
      <c r="H3" s="4">
        <v>6</v>
      </c>
      <c r="I3" s="18">
        <v>100</v>
      </c>
      <c r="J3" s="4">
        <v>700</v>
      </c>
      <c r="K3" s="3">
        <v>37</v>
      </c>
      <c r="L3" s="18">
        <v>20</v>
      </c>
      <c r="M3" s="4">
        <v>55</v>
      </c>
      <c r="N3" s="3">
        <v>8</v>
      </c>
      <c r="O3" s="4">
        <v>20</v>
      </c>
      <c r="P3" s="3">
        <v>0.52</v>
      </c>
      <c r="Q3" s="18">
        <f t="shared" si="0"/>
        <v>0.22999999999999998</v>
      </c>
      <c r="R3" s="4">
        <v>0.81</v>
      </c>
      <c r="S3" s="6">
        <v>0</v>
      </c>
      <c r="T3">
        <v>0</v>
      </c>
      <c r="U3">
        <v>8.6999999999999993</v>
      </c>
      <c r="V3">
        <v>21.3</v>
      </c>
      <c r="W3">
        <v>24.7</v>
      </c>
      <c r="X3">
        <v>16.7</v>
      </c>
      <c r="Y3">
        <v>17.3</v>
      </c>
      <c r="Z3">
        <v>8</v>
      </c>
      <c r="AA3">
        <v>3.3</v>
      </c>
      <c r="AB3" s="7">
        <v>0</v>
      </c>
      <c r="AC3" s="6">
        <v>35.9</v>
      </c>
      <c r="AD3">
        <v>51.4</v>
      </c>
      <c r="AE3">
        <v>4.3</v>
      </c>
      <c r="AF3" s="6">
        <v>100</v>
      </c>
      <c r="AG3" s="7">
        <v>0</v>
      </c>
      <c r="AH3">
        <v>3</v>
      </c>
      <c r="AI3" s="13">
        <v>13.56</v>
      </c>
      <c r="AJ3" s="19">
        <v>10.17</v>
      </c>
      <c r="AK3" s="19">
        <v>12.71</v>
      </c>
      <c r="AL3" s="19">
        <v>8.4700000000000006</v>
      </c>
      <c r="AM3" s="19">
        <v>0</v>
      </c>
      <c r="AN3" s="19">
        <v>1.69</v>
      </c>
      <c r="AO3" s="19">
        <v>3.39</v>
      </c>
      <c r="AP3" s="19">
        <v>3.39</v>
      </c>
      <c r="AQ3" s="19">
        <v>22.03</v>
      </c>
      <c r="AR3" s="14">
        <v>24.58</v>
      </c>
      <c r="AS3" s="13">
        <v>10.91</v>
      </c>
      <c r="AT3" s="19">
        <v>0.95</v>
      </c>
      <c r="AU3" s="14">
        <v>88.15</v>
      </c>
    </row>
    <row r="4" spans="1:47" ht="57.6" customHeight="1" x14ac:dyDescent="0.3">
      <c r="A4" t="s">
        <v>50</v>
      </c>
      <c r="B4" s="18" t="s">
        <v>51</v>
      </c>
      <c r="C4" s="3">
        <v>0.05</v>
      </c>
      <c r="D4" s="4">
        <v>0.3</v>
      </c>
      <c r="E4" s="3">
        <v>0.05</v>
      </c>
      <c r="F4" s="4">
        <v>0.2</v>
      </c>
      <c r="G4" s="3">
        <v>4</v>
      </c>
      <c r="H4" s="4">
        <v>8</v>
      </c>
      <c r="I4">
        <v>80</v>
      </c>
      <c r="J4" s="4">
        <v>275</v>
      </c>
      <c r="K4" s="3">
        <v>16</v>
      </c>
      <c r="L4" s="18">
        <v>9</v>
      </c>
      <c r="M4" s="4">
        <v>21</v>
      </c>
      <c r="N4" s="3">
        <v>8</v>
      </c>
      <c r="O4" s="4">
        <v>15</v>
      </c>
      <c r="P4" s="3">
        <v>0.62</v>
      </c>
      <c r="Q4" s="18">
        <f t="shared" si="0"/>
        <v>0.43999999999999995</v>
      </c>
      <c r="R4" s="4">
        <v>0.8</v>
      </c>
      <c r="S4" s="6">
        <v>16.8</v>
      </c>
      <c r="T4">
        <v>14.5</v>
      </c>
      <c r="U4">
        <v>9.9</v>
      </c>
      <c r="V4">
        <v>10.7</v>
      </c>
      <c r="W4">
        <v>12.2</v>
      </c>
      <c r="X4">
        <v>10.7</v>
      </c>
      <c r="Y4">
        <v>14.5</v>
      </c>
      <c r="Z4">
        <v>7.6</v>
      </c>
      <c r="AA4">
        <v>3.1</v>
      </c>
      <c r="AB4" s="7">
        <v>0</v>
      </c>
      <c r="AC4" s="6">
        <v>35.9</v>
      </c>
      <c r="AD4">
        <v>51.4</v>
      </c>
      <c r="AE4">
        <v>4.3</v>
      </c>
      <c r="AF4" s="6">
        <v>67</v>
      </c>
      <c r="AG4" s="7">
        <v>33</v>
      </c>
      <c r="AH4">
        <v>3.5</v>
      </c>
      <c r="AI4" s="13">
        <v>8.57</v>
      </c>
      <c r="AJ4" s="19">
        <v>17.71</v>
      </c>
      <c r="AK4" s="19">
        <v>7.43</v>
      </c>
      <c r="AL4" s="19">
        <v>6.29</v>
      </c>
      <c r="AM4" s="19">
        <v>1.1399999999999999</v>
      </c>
      <c r="AN4" s="19">
        <v>4.57</v>
      </c>
      <c r="AO4" s="19">
        <v>4</v>
      </c>
      <c r="AP4" s="19">
        <v>1.71</v>
      </c>
      <c r="AQ4" s="19">
        <v>22.29</v>
      </c>
      <c r="AR4" s="14">
        <v>26.29</v>
      </c>
      <c r="AS4" s="13">
        <v>25.76</v>
      </c>
      <c r="AT4" s="19">
        <v>1.08</v>
      </c>
      <c r="AU4" s="14">
        <v>73.16</v>
      </c>
    </row>
    <row r="5" spans="1:47" ht="28.8" customHeight="1" x14ac:dyDescent="0.3">
      <c r="A5" t="s">
        <v>52</v>
      </c>
      <c r="B5" s="18" t="s">
        <v>53</v>
      </c>
      <c r="C5" s="3">
        <v>0.2</v>
      </c>
      <c r="D5" s="4">
        <v>0.5</v>
      </c>
      <c r="E5" s="3">
        <v>0.2</v>
      </c>
      <c r="F5" s="4">
        <v>0.3</v>
      </c>
      <c r="G5" s="3">
        <v>8</v>
      </c>
      <c r="H5" s="4">
        <v>16</v>
      </c>
      <c r="I5" s="18">
        <v>70</v>
      </c>
      <c r="J5" s="4">
        <v>175</v>
      </c>
      <c r="K5" s="3">
        <v>23</v>
      </c>
      <c r="L5" s="18">
        <v>12</v>
      </c>
      <c r="M5" s="4">
        <v>32</v>
      </c>
      <c r="N5" s="3">
        <v>8</v>
      </c>
      <c r="O5" s="4">
        <v>12</v>
      </c>
      <c r="P5" s="3">
        <v>0.72</v>
      </c>
      <c r="Q5" s="18">
        <f t="shared" si="0"/>
        <v>0.62</v>
      </c>
      <c r="R5" s="4">
        <v>0.82</v>
      </c>
      <c r="S5" s="6">
        <v>0</v>
      </c>
      <c r="T5">
        <v>0</v>
      </c>
      <c r="U5">
        <v>8.6999999999999993</v>
      </c>
      <c r="V5">
        <v>21.3</v>
      </c>
      <c r="W5">
        <v>24.7</v>
      </c>
      <c r="X5">
        <v>16.7</v>
      </c>
      <c r="Y5">
        <v>17.3</v>
      </c>
      <c r="Z5">
        <v>8</v>
      </c>
      <c r="AA5">
        <v>3.3</v>
      </c>
      <c r="AB5" s="7">
        <v>0</v>
      </c>
      <c r="AC5" s="6">
        <v>35.9</v>
      </c>
      <c r="AD5">
        <v>51.4</v>
      </c>
      <c r="AE5">
        <v>4.3</v>
      </c>
      <c r="AF5" s="6">
        <v>65</v>
      </c>
      <c r="AG5" s="7">
        <v>35</v>
      </c>
      <c r="AH5">
        <v>3.5</v>
      </c>
      <c r="AI5" s="13">
        <v>9.84</v>
      </c>
      <c r="AJ5" s="19">
        <v>15.26</v>
      </c>
      <c r="AK5" s="19">
        <v>9.44</v>
      </c>
      <c r="AL5" s="19">
        <v>5.62</v>
      </c>
      <c r="AM5" s="19">
        <v>6.63</v>
      </c>
      <c r="AN5" s="19">
        <v>4.22</v>
      </c>
      <c r="AO5" s="19">
        <v>2.81</v>
      </c>
      <c r="AP5" s="19">
        <v>0.2</v>
      </c>
      <c r="AQ5" s="19">
        <v>23.49</v>
      </c>
      <c r="AR5" s="14">
        <v>22.49</v>
      </c>
      <c r="AS5" s="13">
        <v>22.09</v>
      </c>
      <c r="AT5" s="19">
        <v>1.1000000000000001</v>
      </c>
      <c r="AU5" s="14">
        <v>76.8</v>
      </c>
    </row>
    <row r="6" spans="1:47" ht="28.8" customHeight="1" x14ac:dyDescent="0.3">
      <c r="A6" t="s">
        <v>54</v>
      </c>
      <c r="B6" s="18" t="s">
        <v>55</v>
      </c>
      <c r="C6" s="3">
        <v>0.2</v>
      </c>
      <c r="D6" s="4">
        <v>0.4</v>
      </c>
      <c r="E6" s="3">
        <v>0.2</v>
      </c>
      <c r="F6" s="4">
        <v>0.3</v>
      </c>
      <c r="G6" s="3">
        <v>15</v>
      </c>
      <c r="H6" s="4">
        <v>30</v>
      </c>
      <c r="I6">
        <v>100</v>
      </c>
      <c r="J6" s="4">
        <v>260</v>
      </c>
      <c r="K6" s="3">
        <v>10</v>
      </c>
      <c r="L6" s="18">
        <v>8</v>
      </c>
      <c r="M6" s="4">
        <v>12</v>
      </c>
      <c r="N6" s="6">
        <v>6</v>
      </c>
      <c r="O6" s="7">
        <v>8</v>
      </c>
      <c r="P6" s="3">
        <v>0.68</v>
      </c>
      <c r="Q6" s="18">
        <f t="shared" si="0"/>
        <v>0.58000000000000007</v>
      </c>
      <c r="R6" s="4">
        <v>0.78</v>
      </c>
      <c r="S6" s="6">
        <v>0</v>
      </c>
      <c r="T6">
        <v>0</v>
      </c>
      <c r="U6">
        <v>8.6999999999999993</v>
      </c>
      <c r="V6">
        <v>21.3</v>
      </c>
      <c r="W6">
        <v>24.7</v>
      </c>
      <c r="X6">
        <v>16.7</v>
      </c>
      <c r="Y6">
        <v>17.3</v>
      </c>
      <c r="Z6">
        <v>8</v>
      </c>
      <c r="AA6">
        <v>3.3</v>
      </c>
      <c r="AB6" s="7">
        <v>0</v>
      </c>
      <c r="AC6" s="6">
        <v>35.9</v>
      </c>
      <c r="AD6">
        <v>51.4</v>
      </c>
      <c r="AE6">
        <v>4.3</v>
      </c>
      <c r="AF6" s="6">
        <v>100</v>
      </c>
      <c r="AG6" s="7">
        <v>0</v>
      </c>
      <c r="AH6">
        <v>3</v>
      </c>
      <c r="AI6" s="13">
        <v>5.88</v>
      </c>
      <c r="AJ6" s="19">
        <v>17.97</v>
      </c>
      <c r="AK6" s="19">
        <v>18.600000000000001</v>
      </c>
      <c r="AL6" s="19">
        <v>8.11</v>
      </c>
      <c r="AM6" s="19">
        <v>0</v>
      </c>
      <c r="AN6" s="19">
        <v>7.79</v>
      </c>
      <c r="AO6" s="19">
        <v>2.38</v>
      </c>
      <c r="AP6" s="19">
        <v>1.1100000000000001</v>
      </c>
      <c r="AQ6" s="19">
        <v>25.6</v>
      </c>
      <c r="AR6" s="14">
        <v>12.56</v>
      </c>
      <c r="AS6" s="13">
        <v>6.43</v>
      </c>
      <c r="AT6" s="19">
        <v>0.56999999999999995</v>
      </c>
      <c r="AU6" s="14">
        <v>93</v>
      </c>
    </row>
    <row r="7" spans="1:47" ht="57.6" customHeight="1" x14ac:dyDescent="0.3">
      <c r="A7" t="s">
        <v>56</v>
      </c>
      <c r="B7" s="18" t="s">
        <v>57</v>
      </c>
      <c r="C7" s="3">
        <v>0.4</v>
      </c>
      <c r="D7" s="4">
        <v>0.8</v>
      </c>
      <c r="E7" s="3">
        <v>0.15</v>
      </c>
      <c r="F7" s="4">
        <v>0.2</v>
      </c>
      <c r="G7" s="3">
        <v>2</v>
      </c>
      <c r="H7" s="4">
        <v>5</v>
      </c>
      <c r="I7" s="18">
        <v>130</v>
      </c>
      <c r="J7" s="4">
        <v>300</v>
      </c>
      <c r="K7" s="3">
        <v>26</v>
      </c>
      <c r="L7" s="18">
        <v>18</v>
      </c>
      <c r="M7" s="4">
        <v>32</v>
      </c>
      <c r="N7" s="6">
        <v>8</v>
      </c>
      <c r="O7" s="7">
        <v>12</v>
      </c>
      <c r="P7" s="3">
        <v>0.56999999999999995</v>
      </c>
      <c r="Q7" s="18">
        <f t="shared" si="0"/>
        <v>0.46999999999999986</v>
      </c>
      <c r="R7" s="4">
        <v>0.67</v>
      </c>
      <c r="S7" s="6">
        <v>7.7</v>
      </c>
      <c r="T7">
        <v>20.5</v>
      </c>
      <c r="U7">
        <v>23.2</v>
      </c>
      <c r="V7">
        <v>17.899999999999999</v>
      </c>
      <c r="W7">
        <v>5.0999999999999996</v>
      </c>
      <c r="X7">
        <v>7.7</v>
      </c>
      <c r="Y7">
        <v>7.7</v>
      </c>
      <c r="Z7">
        <v>5.0999999999999996</v>
      </c>
      <c r="AA7">
        <v>5.0999999999999996</v>
      </c>
      <c r="AB7" s="7">
        <v>0</v>
      </c>
      <c r="AC7" s="6">
        <v>35.9</v>
      </c>
      <c r="AD7">
        <v>51.4</v>
      </c>
      <c r="AE7">
        <v>4.3</v>
      </c>
      <c r="AF7" s="6">
        <v>0</v>
      </c>
      <c r="AG7" s="7">
        <v>100</v>
      </c>
      <c r="AH7">
        <v>6</v>
      </c>
      <c r="AI7" s="13">
        <v>0</v>
      </c>
      <c r="AJ7" s="19">
        <v>0</v>
      </c>
      <c r="AK7" s="19">
        <v>16.670000000000002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33.33</v>
      </c>
      <c r="AR7" s="14">
        <v>50</v>
      </c>
      <c r="AS7" s="13">
        <v>22.86</v>
      </c>
      <c r="AT7" s="19">
        <v>0</v>
      </c>
      <c r="AU7" s="14">
        <v>77.14</v>
      </c>
    </row>
    <row r="8" spans="1:47" ht="28.8" customHeight="1" x14ac:dyDescent="0.3">
      <c r="A8" t="s">
        <v>58</v>
      </c>
      <c r="B8" s="18" t="s">
        <v>59</v>
      </c>
      <c r="C8" s="3">
        <v>0.8</v>
      </c>
      <c r="D8" s="4">
        <v>1.2</v>
      </c>
      <c r="E8" s="3">
        <v>0.1</v>
      </c>
      <c r="F8" s="4">
        <v>0.2</v>
      </c>
      <c r="G8" s="3">
        <v>3</v>
      </c>
      <c r="H8" s="4">
        <v>7</v>
      </c>
      <c r="I8">
        <v>75</v>
      </c>
      <c r="J8" s="4">
        <v>270</v>
      </c>
      <c r="K8" s="3">
        <v>30</v>
      </c>
      <c r="L8" s="18">
        <v>20</v>
      </c>
      <c r="M8" s="4">
        <v>40</v>
      </c>
      <c r="N8" s="6">
        <v>4</v>
      </c>
      <c r="O8" s="7">
        <v>8</v>
      </c>
      <c r="P8" s="3">
        <v>0.66</v>
      </c>
      <c r="Q8" s="18">
        <f t="shared" si="0"/>
        <v>0.60000000000000009</v>
      </c>
      <c r="R8" s="4">
        <v>0.72</v>
      </c>
      <c r="S8" s="6">
        <v>0</v>
      </c>
      <c r="T8">
        <v>0</v>
      </c>
      <c r="U8">
        <v>0</v>
      </c>
      <c r="V8">
        <v>0</v>
      </c>
      <c r="W8">
        <v>44.5</v>
      </c>
      <c r="X8">
        <v>22.2</v>
      </c>
      <c r="Y8">
        <v>11.1</v>
      </c>
      <c r="Z8">
        <v>11.1</v>
      </c>
      <c r="AA8">
        <v>11.1</v>
      </c>
      <c r="AB8" s="7">
        <v>0</v>
      </c>
      <c r="AC8" s="6">
        <v>35.9</v>
      </c>
      <c r="AD8">
        <v>51.4</v>
      </c>
      <c r="AE8">
        <v>4.3</v>
      </c>
      <c r="AF8" s="6">
        <v>0</v>
      </c>
      <c r="AG8" s="7">
        <v>100</v>
      </c>
      <c r="AH8">
        <v>19</v>
      </c>
      <c r="AI8" s="13">
        <v>11.39</v>
      </c>
      <c r="AJ8" s="19">
        <v>20.3</v>
      </c>
      <c r="AK8" s="19">
        <v>7.43</v>
      </c>
      <c r="AL8" s="19">
        <v>2.97</v>
      </c>
      <c r="AM8" s="19">
        <v>12.87</v>
      </c>
      <c r="AN8" s="19">
        <v>5.45</v>
      </c>
      <c r="AO8" s="19">
        <v>2.48</v>
      </c>
      <c r="AP8" s="19">
        <v>2.97</v>
      </c>
      <c r="AQ8" s="19">
        <v>12.87</v>
      </c>
      <c r="AR8" s="14">
        <v>21.29</v>
      </c>
      <c r="AS8" s="13">
        <v>30.3</v>
      </c>
      <c r="AT8" s="19">
        <v>2.7</v>
      </c>
      <c r="AU8" s="14">
        <v>67.010000000000005</v>
      </c>
    </row>
    <row r="9" spans="1:47" ht="28.8" customHeight="1" x14ac:dyDescent="0.3">
      <c r="A9" t="s">
        <v>60</v>
      </c>
      <c r="B9" s="18" t="s">
        <v>61</v>
      </c>
      <c r="C9" s="3">
        <v>0.5</v>
      </c>
      <c r="D9" s="4">
        <v>1.5</v>
      </c>
      <c r="E9" s="3">
        <v>0.3</v>
      </c>
      <c r="F9" s="4">
        <v>0.4</v>
      </c>
      <c r="G9" s="3">
        <v>8</v>
      </c>
      <c r="H9" s="4">
        <v>16</v>
      </c>
      <c r="I9" s="18">
        <v>110</v>
      </c>
      <c r="J9" s="4">
        <v>240</v>
      </c>
      <c r="K9" s="3">
        <v>31</v>
      </c>
      <c r="L9" s="18">
        <v>19.5</v>
      </c>
      <c r="M9" s="4">
        <v>42</v>
      </c>
      <c r="N9" s="3">
        <v>4</v>
      </c>
      <c r="O9" s="4">
        <v>8</v>
      </c>
      <c r="P9" s="3">
        <v>0.61</v>
      </c>
      <c r="Q9" s="18">
        <f t="shared" si="0"/>
        <v>0.5</v>
      </c>
      <c r="R9" s="4">
        <v>0.72</v>
      </c>
      <c r="S9" s="6">
        <v>46.9</v>
      </c>
      <c r="T9">
        <v>53.1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7">
        <v>0</v>
      </c>
      <c r="AC9" s="6">
        <v>35.9</v>
      </c>
      <c r="AD9">
        <v>51.4</v>
      </c>
      <c r="AE9">
        <v>4.3</v>
      </c>
      <c r="AF9" s="6">
        <v>0</v>
      </c>
      <c r="AG9" s="7">
        <v>100</v>
      </c>
      <c r="AH9">
        <v>6</v>
      </c>
      <c r="AI9" s="13">
        <v>16.27</v>
      </c>
      <c r="AJ9" s="19">
        <v>14.92</v>
      </c>
      <c r="AK9" s="19">
        <v>9.15</v>
      </c>
      <c r="AL9" s="19">
        <v>5.08</v>
      </c>
      <c r="AM9" s="19">
        <v>7.46</v>
      </c>
      <c r="AN9" s="19">
        <v>10.17</v>
      </c>
      <c r="AO9" s="19">
        <v>1.69</v>
      </c>
      <c r="AP9" s="19">
        <v>3.05</v>
      </c>
      <c r="AQ9" s="19">
        <v>25.08</v>
      </c>
      <c r="AR9" s="14">
        <v>7.12</v>
      </c>
      <c r="AS9" s="13">
        <v>19.88</v>
      </c>
      <c r="AT9" s="19">
        <v>7.92</v>
      </c>
      <c r="AU9" s="14">
        <v>72.2</v>
      </c>
    </row>
    <row r="10" spans="1:47" ht="29.4" customHeight="1" x14ac:dyDescent="0.3">
      <c r="A10" t="s">
        <v>62</v>
      </c>
      <c r="B10" s="18" t="s">
        <v>63</v>
      </c>
      <c r="C10" s="20">
        <v>1.5</v>
      </c>
      <c r="D10" s="21">
        <v>4.5</v>
      </c>
      <c r="E10" s="3">
        <v>0.35</v>
      </c>
      <c r="F10" s="4">
        <v>0.8</v>
      </c>
      <c r="G10" s="3">
        <v>20</v>
      </c>
      <c r="H10" s="4">
        <v>40</v>
      </c>
      <c r="I10">
        <v>80</v>
      </c>
      <c r="J10" s="4">
        <v>230</v>
      </c>
      <c r="K10" s="3">
        <v>15</v>
      </c>
      <c r="L10" s="18">
        <v>8</v>
      </c>
      <c r="M10" s="4">
        <v>20.5</v>
      </c>
      <c r="N10" s="6">
        <v>4</v>
      </c>
      <c r="O10" s="7">
        <v>8</v>
      </c>
      <c r="P10" s="3">
        <v>0.52</v>
      </c>
      <c r="Q10" s="18">
        <f t="shared" si="0"/>
        <v>0.39</v>
      </c>
      <c r="R10" s="4">
        <v>0.65</v>
      </c>
      <c r="S10" s="8">
        <v>86.2</v>
      </c>
      <c r="T10" s="10">
        <v>13.8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9">
        <v>0</v>
      </c>
      <c r="AC10" s="8">
        <v>35.9</v>
      </c>
      <c r="AD10" s="10">
        <v>51.4</v>
      </c>
      <c r="AE10" s="10">
        <v>4.3</v>
      </c>
      <c r="AF10" s="8">
        <v>45</v>
      </c>
      <c r="AG10" s="9">
        <v>55</v>
      </c>
      <c r="AH10" s="10">
        <v>6.5</v>
      </c>
      <c r="AI10" s="15">
        <v>10.53</v>
      </c>
      <c r="AJ10" s="16">
        <v>3.81</v>
      </c>
      <c r="AK10" s="16">
        <v>20.329999999999998</v>
      </c>
      <c r="AL10" s="16">
        <v>7.99</v>
      </c>
      <c r="AM10" s="16">
        <v>1.81</v>
      </c>
      <c r="AN10" s="16">
        <v>5.44</v>
      </c>
      <c r="AO10" s="16">
        <v>2</v>
      </c>
      <c r="AP10" s="16">
        <v>0.54</v>
      </c>
      <c r="AQ10" s="16">
        <v>42.29</v>
      </c>
      <c r="AR10" s="17">
        <v>5.26</v>
      </c>
      <c r="AS10" s="15">
        <v>12.41</v>
      </c>
      <c r="AT10" s="16">
        <v>13.38</v>
      </c>
      <c r="AU10" s="17">
        <v>74.209999999999994</v>
      </c>
    </row>
    <row r="11" spans="1:47" ht="105" customHeight="1" x14ac:dyDescent="0.3">
      <c r="A11" s="11" t="s">
        <v>64</v>
      </c>
      <c r="B11" s="28" t="s">
        <v>65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7"/>
      <c r="S11" s="25" t="s">
        <v>66</v>
      </c>
      <c r="T11" s="26"/>
      <c r="U11" s="26"/>
      <c r="V11" s="26"/>
      <c r="W11" s="26"/>
      <c r="X11" s="26"/>
      <c r="Y11" s="26"/>
      <c r="Z11" s="26"/>
      <c r="AA11" s="26"/>
      <c r="AB11" s="27"/>
      <c r="AC11" s="25" t="s">
        <v>67</v>
      </c>
      <c r="AD11" s="26"/>
      <c r="AE11" s="27"/>
      <c r="AF11" s="25" t="s">
        <v>68</v>
      </c>
      <c r="AG11" s="26"/>
      <c r="AH11" s="27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8"/>
    </row>
  </sheetData>
  <mergeCells count="4">
    <mergeCell ref="AC11:AE11"/>
    <mergeCell ref="B11:R11"/>
    <mergeCell ref="AF11:AH11"/>
    <mergeCell ref="S11:AB11"/>
  </mergeCells>
  <conditionalFormatting sqref="C2:C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:AS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:AT1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:AU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Rawad Hamze</cp:lastModifiedBy>
  <dcterms:modified xsi:type="dcterms:W3CDTF">2026-10-29T16:09:29Z</dcterms:modified>
</cp:coreProperties>
</file>