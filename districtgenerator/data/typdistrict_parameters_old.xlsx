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districtgenerator\districtgenerator\data\"/>
    </mc:Choice>
  </mc:AlternateContent>
  <xr:revisionPtr revIDLastSave="0" documentId="13_ncr:1_{B77AB938-4A8F-4D2C-A7F7-B65CC6B7004D}" xr6:coauthVersionLast="47" xr6:coauthVersionMax="47" xr10:uidLastSave="{00000000-0000-0000-0000-000000000000}"/>
  <bookViews>
    <workbookView xWindow="11835" yWindow="-16335" windowWidth="29040" windowHeight="15720" xr2:uid="{429C7893-B2AC-4DD2-A71C-1586DF0B06AF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1" l="1"/>
  <c r="AN3" i="1"/>
  <c r="AM3" i="1"/>
  <c r="AO2" i="1"/>
  <c r="AN2" i="1"/>
  <c r="AM2" i="1"/>
  <c r="AE2" i="1"/>
  <c r="AO10" i="1"/>
  <c r="AN10" i="1"/>
  <c r="AM10" i="1"/>
  <c r="AO9" i="1"/>
  <c r="AN9" i="1"/>
  <c r="AM9" i="1"/>
  <c r="AO8" i="1"/>
  <c r="AN8" i="1"/>
  <c r="AM8" i="1"/>
  <c r="AO7" i="1"/>
  <c r="AN7" i="1"/>
  <c r="AM7" i="1"/>
  <c r="AO6" i="1"/>
  <c r="AN6" i="1"/>
  <c r="AM6" i="1"/>
  <c r="AO5" i="1"/>
  <c r="AN5" i="1"/>
  <c r="AM5" i="1"/>
  <c r="AO4" i="1"/>
  <c r="AN4" i="1"/>
  <c r="AM4" i="1"/>
  <c r="K3" i="1"/>
  <c r="K4" i="1"/>
  <c r="K5" i="1"/>
  <c r="K6" i="1"/>
  <c r="K7" i="1"/>
  <c r="K8" i="1"/>
  <c r="K9" i="1"/>
  <c r="K10" i="1"/>
  <c r="K2" i="1"/>
  <c r="N10" i="1"/>
  <c r="N9" i="1"/>
  <c r="N5" i="1"/>
  <c r="N6" i="1"/>
  <c r="N7" i="1"/>
  <c r="N4" i="1"/>
  <c r="AE10" i="1"/>
  <c r="AE3" i="1"/>
  <c r="AE4" i="1"/>
  <c r="AE5" i="1"/>
  <c r="AE6" i="1"/>
  <c r="AE7" i="1"/>
  <c r="AE8" i="1"/>
  <c r="AE9" i="1"/>
</calcChain>
</file>

<file path=xl/sharedStrings.xml><?xml version="1.0" encoding="utf-8"?>
<sst xmlns="http://schemas.openxmlformats.org/spreadsheetml/2006/main" count="145" uniqueCount="89">
  <si>
    <t>Siedlungstyp</t>
  </si>
  <si>
    <t>Lastangriffsfaktor ε</t>
  </si>
  <si>
    <t>Min Geschoss-flächenzahl</t>
  </si>
  <si>
    <t>Max Geschoss-flächenzahl</t>
  </si>
  <si>
    <t>Min Grund-flächenzahl</t>
  </si>
  <si>
    <t>Max Grund-flächenzahl</t>
  </si>
  <si>
    <t>H</t>
  </si>
  <si>
    <t>Netzaufbau</t>
  </si>
  <si>
    <t>Strahlennetz</t>
  </si>
  <si>
    <t>Strahlennetz, Maschennetz</t>
  </si>
  <si>
    <t>Maschennetz</t>
  </si>
  <si>
    <t>Maschennetz, Anschlussnetz</t>
  </si>
  <si>
    <t>Anschlussnetz</t>
  </si>
  <si>
    <t>S</t>
  </si>
  <si>
    <t>V</t>
  </si>
  <si>
    <t>Häufigkeit Schule, Kindebetreuungsstätte</t>
  </si>
  <si>
    <t>Häufigkeit Büro, Praxis, Kanzlei</t>
  </si>
  <si>
    <t>Häufigkeit Einzelhandel und Dienstleistung</t>
  </si>
  <si>
    <t>Häufigkeit Gaststätte</t>
  </si>
  <si>
    <t>Häufigkeit Handwerksbetrieb</t>
  </si>
  <si>
    <t>Häufigkeit Landwirtschaftlicher Betrieb</t>
  </si>
  <si>
    <t>Mittelwert Länge der Netzstrahlabschnitte (m)</t>
  </si>
  <si>
    <t>Min Länge der Netzstrahlabschnitte (m)</t>
  </si>
  <si>
    <t>Max Länge der Netzstrahlabschnitte (m)</t>
  </si>
  <si>
    <t>Gebäudegrundfläche je Wohneinheit (m²)</t>
  </si>
  <si>
    <t>Min Gebäude pro ha</t>
  </si>
  <si>
    <t>Max Gebäude pro ha</t>
  </si>
  <si>
    <t>Mittelwert Anzahl der Leitungsabgänge je Netzstation</t>
  </si>
  <si>
    <t>Min Anzahl der Leitungsabgänge je Netzstation</t>
  </si>
  <si>
    <t>Max Anzahl der Leitungsabgänge je Netzstation</t>
  </si>
  <si>
    <t>Mittelwert Abstand benachbarter Hausanschlüsse  (m)</t>
  </si>
  <si>
    <t>Min Abstand benachbarter Hausanschlüsse  (m)</t>
  </si>
  <si>
    <t>Max Abstand benachbarter Hausanschlüsse  (m)</t>
  </si>
  <si>
    <t>Min Wohnheiten je Hausanschlus</t>
  </si>
  <si>
    <t>Max Wohnheiten je Hausanschlus</t>
  </si>
  <si>
    <t>Mittelwert Wohnheiten je Hausanschlus</t>
  </si>
  <si>
    <t>stdev Lastangriffsfaktor σ</t>
  </si>
  <si>
    <t>Mittelwert Fläche des Bezirkes (ha)</t>
  </si>
  <si>
    <t>Min Fläche des Bezirkes (ha)</t>
  </si>
  <si>
    <t>Max Fläche des Bezirkes (ha)</t>
  </si>
  <si>
    <t>Mittelwert Seitenverhältnis (B/L)</t>
  </si>
  <si>
    <t>Min Seitenverhältnis (B/L)</t>
  </si>
  <si>
    <t>Max Seitenverhältnis (B/L)</t>
  </si>
  <si>
    <t>Wohnplätze und Streusiedlungen</t>
  </si>
  <si>
    <t>A</t>
  </si>
  <si>
    <t>C</t>
  </si>
  <si>
    <t>B</t>
  </si>
  <si>
    <t>D</t>
  </si>
  <si>
    <t>E</t>
  </si>
  <si>
    <t>F</t>
  </si>
  <si>
    <t>G</t>
  </si>
  <si>
    <t>I</t>
  </si>
  <si>
    <t>Dörfer mit überwiegend Gehöften</t>
  </si>
  <si>
    <t>Ein- und Zweifamilienhaussiedlung niedriger Dichte</t>
  </si>
  <si>
    <t>Reihenhausbebauung</t>
  </si>
  <si>
    <t>Zeilenbebauung mittlerer Dichte</t>
  </si>
  <si>
    <t>Zeilenbebauung hoher Dichte und Hochhäuser</t>
  </si>
  <si>
    <t>Blockbebauung</t>
  </si>
  <si>
    <t>Mittelalterliche Altstadt</t>
  </si>
  <si>
    <t>Min HA-Leitungen (m)</t>
  </si>
  <si>
    <t>Max HA-Leitungen (m)</t>
  </si>
  <si>
    <t>Gebäudealtersverteilung vor 1919 (%)</t>
  </si>
  <si>
    <t>Gebäudealtersverteilung 1919 - 1949 (%)</t>
  </si>
  <si>
    <t>Gebäudealtersverteilung 1950 - 1959 (%)</t>
  </si>
  <si>
    <t>Gebäudealtersverteilung 1960 - 1969 (%)</t>
  </si>
  <si>
    <t>Gebäudealtersverteilung 1970 - 1979 (%)</t>
  </si>
  <si>
    <t>Gebäudealtersverteilung 1980 - 1989 (%)</t>
  </si>
  <si>
    <t>Gebäudealtersverteilung 1990 - 1999 (%)</t>
  </si>
  <si>
    <t>Gebäudealtersverteilung 2000 - 2005 (%)</t>
  </si>
  <si>
    <t>Gebäudealtersverteilung 2006 - 2009 (%)</t>
  </si>
  <si>
    <t>Gebäudealtersverteilung 2010 - 2019 (%)</t>
  </si>
  <si>
    <t>Unsaniert (%)</t>
  </si>
  <si>
    <t>Teilsaniert (%)</t>
  </si>
  <si>
    <t>Vollsaniert (%)</t>
  </si>
  <si>
    <t>Quelle:</t>
  </si>
  <si>
    <t>J. Scheffler, Bestimmung der maximal zulässigen Netzanschlussleistung photovoltaischer Energiewandlungsanlagen in Wohnsiedlungsgebieten, Dissertation, Technische Universität Chemnitz, 2002.</t>
  </si>
  <si>
    <t>Fraunhofer UMSICHT &amp; GWI Essen, Integrierte Betrachtung von Strom-, Gas- und Wärmesystemen zur modellbasierten Optimierung des Energieausgleichs- und Transportbedarfs
 innerhalb der deutschen Energienetze, Version 1.1, Oberhausen/Essen, 2020.</t>
  </si>
  <si>
    <t>S. Metzger, K. Jahnke, N. Walikewitz, 
M. Otto, A. Grondey und S. Fritz,
Wohnen und Sanieren: 
Empirische Wohngebäudedaten 
seit 2002. 
Hintergrundbericht, Climate Change 22/2019, Umweltbundesamt, 2019.</t>
  </si>
  <si>
    <t>Dettmar, J., Drebes, C. &amp; Sieber, S. (Hrsg.), 2020.
Energetische Stadtraumtypen: Strukturelle und
energetische Kennwerte von Stadträumen. 2.,
überarb. und erw. Aufl. Stuttgart: Fraunhofer IRB
Verlag.</t>
  </si>
  <si>
    <t>Anzahl Vollgeschosse 0%</t>
  </si>
  <si>
    <t>Anzahl Vollgeschosse 25%</t>
  </si>
  <si>
    <t>Anzahl Vollgeschosse 50%</t>
  </si>
  <si>
    <t>Anzahl Vollgeschosse 75%</t>
  </si>
  <si>
    <t>Anzahl Vollgeschosse 100%</t>
  </si>
  <si>
    <t>Nichtwohnnutzung (%)</t>
  </si>
  <si>
    <t>Mischnutzung (%)</t>
  </si>
  <si>
    <t>Wohnnutzung (%)</t>
  </si>
  <si>
    <t>Siedlungsentwicklung und Infrastrukturfolgekosten - Bilanzierung und Strategieentwicklung
https://www.ireus.uni-stuttgart.de/forschung/publikationen/Siedentop_etal_2006.pdf</t>
  </si>
  <si>
    <t>Bausiedlung hoher Dichte und Dorfkern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</si>
</sst>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8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573D-B4BA-4F69-B051-517EE9D7E855}">
  <dimension ref="A1:BG11"/>
  <sheetViews>
    <sheetView tabSelected="1" zoomScale="110" zoomScaleNormal="70" workbookViewId="0">
      <pane xSplit="1" topLeftCell="AG1" activePane="topRight" state="frozen"/>
      <selection pane="topRight" activeCell="AM2" sqref="AM2:AO3"/>
    </sheetView>
  </sheetViews>
  <sheetFormatPr baseColWidth="10" defaultColWidth="10.6640625" defaultRowHeight="14.4"/>
  <cols>
    <col min="2" max="2" width="24.6640625" customWidth="1"/>
    <col min="3" max="3" width="13.109375" bestFit="1" customWidth="1"/>
    <col min="4" max="4" width="13.33203125" customWidth="1"/>
    <col min="7" max="7" width="12.44140625" customWidth="1"/>
    <col min="8" max="8" width="12.33203125" customWidth="1"/>
    <col min="9" max="9" width="16" customWidth="1"/>
    <col min="10" max="10" width="14.33203125" customWidth="1"/>
    <col min="11" max="11" width="14.5546875" customWidth="1"/>
    <col min="12" max="12" width="18.6640625" customWidth="1"/>
    <col min="13" max="13" width="19.44140625" customWidth="1"/>
    <col min="14" max="14" width="13.6640625" customWidth="1"/>
    <col min="15" max="15" width="14.109375" customWidth="1"/>
    <col min="16" max="16" width="13.109375" customWidth="1"/>
    <col min="17" max="17" width="15" customWidth="1"/>
    <col min="24" max="24" width="13" bestFit="1" customWidth="1"/>
    <col min="27" max="27" width="13.44140625" bestFit="1" customWidth="1"/>
    <col min="52" max="53" width="17.33203125" customWidth="1"/>
    <col min="54" max="54" width="17.109375" customWidth="1"/>
    <col min="55" max="55" width="16.88671875" customWidth="1"/>
    <col min="56" max="56" width="19" customWidth="1"/>
  </cols>
  <sheetData>
    <row r="1" spans="1:59" ht="72">
      <c r="B1" s="1" t="s">
        <v>0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25</v>
      </c>
      <c r="H1" s="4" t="s">
        <v>26</v>
      </c>
      <c r="I1" s="3" t="s">
        <v>27</v>
      </c>
      <c r="J1" s="7" t="s">
        <v>28</v>
      </c>
      <c r="K1" s="4" t="s">
        <v>29</v>
      </c>
      <c r="L1" s="3" t="s">
        <v>21</v>
      </c>
      <c r="M1" s="7" t="s">
        <v>22</v>
      </c>
      <c r="N1" s="4" t="s">
        <v>23</v>
      </c>
      <c r="O1" s="3" t="s">
        <v>30</v>
      </c>
      <c r="P1" s="7" t="s">
        <v>31</v>
      </c>
      <c r="Q1" s="4" t="s">
        <v>32</v>
      </c>
      <c r="R1" s="1" t="s">
        <v>7</v>
      </c>
      <c r="S1" s="3" t="s">
        <v>35</v>
      </c>
      <c r="T1" s="7" t="s">
        <v>33</v>
      </c>
      <c r="U1" s="4" t="s">
        <v>34</v>
      </c>
      <c r="V1" s="3" t="s">
        <v>59</v>
      </c>
      <c r="W1" s="4" t="s">
        <v>60</v>
      </c>
      <c r="X1" s="1" t="s">
        <v>1</v>
      </c>
      <c r="Y1" s="1" t="s">
        <v>36</v>
      </c>
      <c r="Z1" s="12" t="s">
        <v>24</v>
      </c>
      <c r="AA1" s="3" t="s">
        <v>37</v>
      </c>
      <c r="AB1" s="7" t="s">
        <v>38</v>
      </c>
      <c r="AC1" s="4" t="s">
        <v>39</v>
      </c>
      <c r="AD1" s="3" t="s">
        <v>40</v>
      </c>
      <c r="AE1" s="7" t="s">
        <v>41</v>
      </c>
      <c r="AF1" s="4" t="s">
        <v>42</v>
      </c>
      <c r="AG1" s="3" t="s">
        <v>15</v>
      </c>
      <c r="AH1" s="7" t="s">
        <v>16</v>
      </c>
      <c r="AI1" s="7" t="s">
        <v>17</v>
      </c>
      <c r="AJ1" s="7" t="s">
        <v>18</v>
      </c>
      <c r="AK1" s="7" t="s">
        <v>19</v>
      </c>
      <c r="AL1" s="4" t="s">
        <v>20</v>
      </c>
      <c r="AM1" s="20" t="s">
        <v>84</v>
      </c>
      <c r="AN1" s="20" t="s">
        <v>85</v>
      </c>
      <c r="AO1" s="20" t="s">
        <v>86</v>
      </c>
      <c r="AP1" s="3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4" t="s">
        <v>70</v>
      </c>
      <c r="AZ1" s="3" t="s">
        <v>71</v>
      </c>
      <c r="BA1" s="7" t="s">
        <v>72</v>
      </c>
      <c r="BB1" s="7" t="s">
        <v>73</v>
      </c>
      <c r="BC1" s="3" t="s">
        <v>79</v>
      </c>
      <c r="BD1" s="7" t="s">
        <v>80</v>
      </c>
      <c r="BE1" s="7" t="s">
        <v>81</v>
      </c>
      <c r="BF1" s="7" t="s">
        <v>82</v>
      </c>
      <c r="BG1" s="4" t="s">
        <v>83</v>
      </c>
    </row>
    <row r="2" spans="1:59" ht="28.8">
      <c r="A2" t="s">
        <v>44</v>
      </c>
      <c r="B2" s="2" t="s">
        <v>43</v>
      </c>
      <c r="C2" s="5">
        <v>0.05</v>
      </c>
      <c r="D2" s="6">
        <v>0.3</v>
      </c>
      <c r="E2" s="5">
        <v>0.05</v>
      </c>
      <c r="F2" s="6">
        <v>0.2</v>
      </c>
      <c r="G2" s="5">
        <v>1</v>
      </c>
      <c r="H2" s="6">
        <v>4</v>
      </c>
      <c r="I2" s="5">
        <v>2.2000000000000002</v>
      </c>
      <c r="J2" s="2">
        <v>1.6</v>
      </c>
      <c r="K2" s="6">
        <f>2*I2-J2</f>
        <v>2.8000000000000003</v>
      </c>
      <c r="L2" s="8">
        <v>400</v>
      </c>
      <c r="M2">
        <v>130</v>
      </c>
      <c r="N2" s="9">
        <v>1000</v>
      </c>
      <c r="O2" s="5">
        <v>49</v>
      </c>
      <c r="P2" s="2">
        <v>19.5</v>
      </c>
      <c r="Q2" s="6">
        <v>76.5</v>
      </c>
      <c r="R2" s="2" t="s">
        <v>8</v>
      </c>
      <c r="S2" s="5">
        <v>1.3</v>
      </c>
      <c r="T2" s="2">
        <v>1</v>
      </c>
      <c r="U2" s="6">
        <v>2</v>
      </c>
      <c r="V2" s="8">
        <v>8</v>
      </c>
      <c r="W2" s="9">
        <v>20</v>
      </c>
      <c r="X2" s="2">
        <v>0.72</v>
      </c>
      <c r="Y2" s="2">
        <v>0.18</v>
      </c>
      <c r="Z2" s="13">
        <v>175</v>
      </c>
      <c r="AA2" s="5">
        <v>17</v>
      </c>
      <c r="AB2" s="2">
        <v>7</v>
      </c>
      <c r="AC2" s="6">
        <v>26</v>
      </c>
      <c r="AD2" s="5">
        <v>0.53</v>
      </c>
      <c r="AE2" s="2">
        <f>AD2*2-AF2</f>
        <v>0.32000000000000006</v>
      </c>
      <c r="AF2" s="6">
        <v>0.74</v>
      </c>
      <c r="AG2" s="5" t="s">
        <v>13</v>
      </c>
      <c r="AH2" t="s">
        <v>13</v>
      </c>
      <c r="AI2" s="2" t="s">
        <v>13</v>
      </c>
      <c r="AJ2" s="2" t="s">
        <v>14</v>
      </c>
      <c r="AK2" s="2" t="s">
        <v>14</v>
      </c>
      <c r="AL2" s="6" t="s">
        <v>6</v>
      </c>
      <c r="AM2" s="28">
        <f>20/(20+5+55)*100</f>
        <v>25</v>
      </c>
      <c r="AN2" s="28">
        <f>5/(20+5+55)*100</f>
        <v>6.25</v>
      </c>
      <c r="AO2" s="28">
        <f>55/(20+5+55)*100</f>
        <v>68.75</v>
      </c>
      <c r="AP2" s="8">
        <v>0</v>
      </c>
      <c r="AQ2">
        <v>37.5</v>
      </c>
      <c r="AR2">
        <v>42.5</v>
      </c>
      <c r="AS2">
        <v>17.5</v>
      </c>
      <c r="AT2">
        <v>2.5</v>
      </c>
      <c r="AU2">
        <v>0</v>
      </c>
      <c r="AV2">
        <v>0</v>
      </c>
      <c r="AW2">
        <v>0</v>
      </c>
      <c r="AX2">
        <v>0</v>
      </c>
      <c r="AY2" s="9">
        <v>0</v>
      </c>
      <c r="AZ2" s="8">
        <v>35.9</v>
      </c>
      <c r="BA2">
        <v>51.4</v>
      </c>
      <c r="BB2">
        <v>4.3</v>
      </c>
      <c r="BC2" s="18">
        <v>1</v>
      </c>
      <c r="BD2">
        <v>1</v>
      </c>
      <c r="BE2">
        <v>1.5</v>
      </c>
      <c r="BF2">
        <v>1.5</v>
      </c>
      <c r="BG2" s="9">
        <v>2.5</v>
      </c>
    </row>
    <row r="3" spans="1:59" ht="28.8">
      <c r="A3" t="s">
        <v>46</v>
      </c>
      <c r="B3" s="2" t="s">
        <v>52</v>
      </c>
      <c r="C3" s="5">
        <v>0.05</v>
      </c>
      <c r="D3" s="6">
        <v>0.3</v>
      </c>
      <c r="E3" s="5">
        <v>0.05</v>
      </c>
      <c r="F3" s="6">
        <v>0.2</v>
      </c>
      <c r="G3" s="5">
        <v>2</v>
      </c>
      <c r="H3" s="6">
        <v>6</v>
      </c>
      <c r="I3" s="5">
        <v>2.9</v>
      </c>
      <c r="J3" s="2">
        <v>2</v>
      </c>
      <c r="K3" s="6">
        <f t="shared" ref="K3:K10" si="0">2*I3-J3</f>
        <v>3.8</v>
      </c>
      <c r="L3" s="5">
        <v>370</v>
      </c>
      <c r="M3" s="2">
        <v>130</v>
      </c>
      <c r="N3" s="6">
        <v>715</v>
      </c>
      <c r="O3" s="5">
        <v>37</v>
      </c>
      <c r="P3" s="2">
        <v>20</v>
      </c>
      <c r="Q3" s="6">
        <v>55</v>
      </c>
      <c r="R3" s="2" t="s">
        <v>8</v>
      </c>
      <c r="S3" s="5">
        <v>1.8</v>
      </c>
      <c r="T3" s="2">
        <v>1</v>
      </c>
      <c r="U3" s="6">
        <v>6</v>
      </c>
      <c r="V3" s="5">
        <v>8</v>
      </c>
      <c r="W3" s="6">
        <v>20</v>
      </c>
      <c r="X3" s="2">
        <v>0.67</v>
      </c>
      <c r="Y3" s="2">
        <v>0.15</v>
      </c>
      <c r="Z3" s="13">
        <v>350</v>
      </c>
      <c r="AA3" s="5">
        <v>18</v>
      </c>
      <c r="AB3" s="2">
        <v>11</v>
      </c>
      <c r="AC3" s="6">
        <v>24</v>
      </c>
      <c r="AD3" s="5">
        <v>0.52</v>
      </c>
      <c r="AE3" s="2">
        <f t="shared" ref="AE3:AE9" si="1">AD3*2-AF3</f>
        <v>0.22999999999999998</v>
      </c>
      <c r="AF3" s="6">
        <v>0.81</v>
      </c>
      <c r="AG3" s="5" t="s">
        <v>14</v>
      </c>
      <c r="AH3" t="s">
        <v>14</v>
      </c>
      <c r="AI3" s="2" t="s">
        <v>14</v>
      </c>
      <c r="AJ3" s="2" t="s">
        <v>6</v>
      </c>
      <c r="AK3" s="2" t="s">
        <v>14</v>
      </c>
      <c r="AL3" s="6" t="s">
        <v>6</v>
      </c>
      <c r="AM3" s="28">
        <f>20/(20+5+55)*100</f>
        <v>25</v>
      </c>
      <c r="AN3" s="28">
        <f>5/(20+5+55)*100</f>
        <v>6.25</v>
      </c>
      <c r="AO3" s="28">
        <f>55/(20+5+55)*100</f>
        <v>68.75</v>
      </c>
      <c r="AP3" s="8">
        <v>0</v>
      </c>
      <c r="AQ3">
        <v>0</v>
      </c>
      <c r="AR3">
        <v>8.6999999999999993</v>
      </c>
      <c r="AS3">
        <v>21.3</v>
      </c>
      <c r="AT3">
        <v>24.7</v>
      </c>
      <c r="AU3">
        <v>16.7</v>
      </c>
      <c r="AV3">
        <v>17.3</v>
      </c>
      <c r="AW3">
        <v>8</v>
      </c>
      <c r="AX3">
        <v>3.3</v>
      </c>
      <c r="AY3" s="9">
        <v>0</v>
      </c>
      <c r="AZ3" s="8">
        <v>35.9</v>
      </c>
      <c r="BA3">
        <v>51.4</v>
      </c>
      <c r="BB3">
        <v>4.3</v>
      </c>
      <c r="BC3" s="18">
        <v>1</v>
      </c>
      <c r="BD3">
        <v>1.5</v>
      </c>
      <c r="BE3">
        <v>2</v>
      </c>
      <c r="BF3">
        <v>2</v>
      </c>
      <c r="BG3" s="9">
        <v>3</v>
      </c>
    </row>
    <row r="4" spans="1:59" ht="57.6">
      <c r="A4" t="s">
        <v>45</v>
      </c>
      <c r="B4" s="2" t="s">
        <v>53</v>
      </c>
      <c r="C4" s="5">
        <v>0.05</v>
      </c>
      <c r="D4" s="6">
        <v>0.3</v>
      </c>
      <c r="E4" s="5">
        <v>0.05</v>
      </c>
      <c r="F4" s="6">
        <v>0.2</v>
      </c>
      <c r="G4" s="5">
        <v>4</v>
      </c>
      <c r="H4" s="6">
        <v>8</v>
      </c>
      <c r="I4" s="5">
        <v>4</v>
      </c>
      <c r="J4" s="2">
        <v>2</v>
      </c>
      <c r="K4" s="6">
        <f t="shared" si="0"/>
        <v>6</v>
      </c>
      <c r="L4" s="5">
        <v>190</v>
      </c>
      <c r="M4" s="2">
        <v>90</v>
      </c>
      <c r="N4" s="6">
        <f>L4*2-M4</f>
        <v>290</v>
      </c>
      <c r="O4" s="5">
        <v>16</v>
      </c>
      <c r="P4" s="2">
        <v>9</v>
      </c>
      <c r="Q4" s="6">
        <v>21</v>
      </c>
      <c r="R4" s="2" t="s">
        <v>9</v>
      </c>
      <c r="S4" s="5">
        <v>1.6</v>
      </c>
      <c r="T4" s="2">
        <v>1</v>
      </c>
      <c r="U4" s="6">
        <v>6</v>
      </c>
      <c r="V4" s="5">
        <v>8</v>
      </c>
      <c r="W4" s="6">
        <v>15</v>
      </c>
      <c r="X4" s="2">
        <v>0.54</v>
      </c>
      <c r="Y4" s="2">
        <v>0.12</v>
      </c>
      <c r="Z4" s="13">
        <v>95</v>
      </c>
      <c r="AA4" s="5">
        <v>19</v>
      </c>
      <c r="AB4" s="2">
        <v>10</v>
      </c>
      <c r="AC4" s="6">
        <v>27</v>
      </c>
      <c r="AD4" s="5">
        <v>0.62</v>
      </c>
      <c r="AE4" s="2">
        <f t="shared" si="1"/>
        <v>0.43999999999999995</v>
      </c>
      <c r="AF4" s="6">
        <v>0.8</v>
      </c>
      <c r="AG4" s="5" t="s">
        <v>13</v>
      </c>
      <c r="AH4" t="s">
        <v>14</v>
      </c>
      <c r="AI4" s="2" t="s">
        <v>13</v>
      </c>
      <c r="AJ4" s="2" t="s">
        <v>14</v>
      </c>
      <c r="AK4" s="2" t="s">
        <v>13</v>
      </c>
      <c r="AL4" s="6" t="s">
        <v>13</v>
      </c>
      <c r="AM4">
        <f t="shared" ref="AM4:AN6" si="2">5/(5+5+70)*100</f>
        <v>6.25</v>
      </c>
      <c r="AN4">
        <f t="shared" si="2"/>
        <v>6.25</v>
      </c>
      <c r="AO4">
        <f>70/(5+5+70)*100</f>
        <v>87.5</v>
      </c>
      <c r="AP4" s="8">
        <v>16.8</v>
      </c>
      <c r="AQ4">
        <v>14.5</v>
      </c>
      <c r="AR4">
        <v>9.9</v>
      </c>
      <c r="AS4">
        <v>10.7</v>
      </c>
      <c r="AT4">
        <v>12.2</v>
      </c>
      <c r="AU4">
        <v>10.7</v>
      </c>
      <c r="AV4">
        <v>14.5</v>
      </c>
      <c r="AW4">
        <v>7.6</v>
      </c>
      <c r="AX4">
        <v>3.1</v>
      </c>
      <c r="AY4" s="9">
        <v>0</v>
      </c>
      <c r="AZ4" s="8">
        <v>35.9</v>
      </c>
      <c r="BA4">
        <v>51.4</v>
      </c>
      <c r="BB4">
        <v>4.3</v>
      </c>
      <c r="BC4" s="18">
        <v>1</v>
      </c>
      <c r="BD4">
        <v>1</v>
      </c>
      <c r="BE4">
        <v>1.5</v>
      </c>
      <c r="BF4">
        <v>1.5</v>
      </c>
      <c r="BG4" s="9">
        <v>2.5</v>
      </c>
    </row>
    <row r="5" spans="1:59" ht="28.8">
      <c r="A5" t="s">
        <v>47</v>
      </c>
      <c r="B5" s="2" t="s">
        <v>88</v>
      </c>
      <c r="C5" s="5">
        <v>0.2</v>
      </c>
      <c r="D5" s="6">
        <v>0.5</v>
      </c>
      <c r="E5" s="5">
        <v>0.2</v>
      </c>
      <c r="F5" s="6">
        <v>0.3</v>
      </c>
      <c r="G5" s="5">
        <v>8</v>
      </c>
      <c r="H5" s="6">
        <v>16</v>
      </c>
      <c r="I5" s="5">
        <v>5.2</v>
      </c>
      <c r="J5" s="2">
        <v>3.6</v>
      </c>
      <c r="K5" s="6">
        <f t="shared" si="0"/>
        <v>6.8000000000000007</v>
      </c>
      <c r="L5" s="5">
        <v>115</v>
      </c>
      <c r="M5" s="2">
        <v>75</v>
      </c>
      <c r="N5" s="6">
        <f t="shared" ref="N5:N7" si="3">L5*2-M5</f>
        <v>155</v>
      </c>
      <c r="O5" s="5">
        <v>23</v>
      </c>
      <c r="P5" s="2">
        <v>12</v>
      </c>
      <c r="Q5" s="6">
        <v>32</v>
      </c>
      <c r="R5" s="2" t="s">
        <v>10</v>
      </c>
      <c r="S5" s="5">
        <v>1.4</v>
      </c>
      <c r="T5" s="2">
        <v>1</v>
      </c>
      <c r="U5" s="6">
        <v>6</v>
      </c>
      <c r="V5" s="5">
        <v>8</v>
      </c>
      <c r="W5" s="6">
        <v>12</v>
      </c>
      <c r="X5" s="2">
        <v>0.55000000000000004</v>
      </c>
      <c r="Y5" s="2">
        <v>0.13</v>
      </c>
      <c r="Z5" s="13">
        <v>135</v>
      </c>
      <c r="AA5" s="5">
        <v>9</v>
      </c>
      <c r="AB5" s="2">
        <v>5</v>
      </c>
      <c r="AC5" s="6">
        <v>13</v>
      </c>
      <c r="AD5" s="5">
        <v>0.72</v>
      </c>
      <c r="AE5" s="2">
        <f t="shared" si="1"/>
        <v>0.62</v>
      </c>
      <c r="AF5" s="6">
        <v>0.82</v>
      </c>
      <c r="AG5" s="5" t="s">
        <v>14</v>
      </c>
      <c r="AH5" t="s">
        <v>14</v>
      </c>
      <c r="AI5" s="2" t="s">
        <v>14</v>
      </c>
      <c r="AJ5" s="2" t="s">
        <v>14</v>
      </c>
      <c r="AK5" s="2" t="s">
        <v>13</v>
      </c>
      <c r="AL5" s="6" t="s">
        <v>13</v>
      </c>
      <c r="AM5">
        <f t="shared" si="2"/>
        <v>6.25</v>
      </c>
      <c r="AN5">
        <f t="shared" si="2"/>
        <v>6.25</v>
      </c>
      <c r="AO5">
        <f>70/(5+5+70)*100</f>
        <v>87.5</v>
      </c>
      <c r="AP5" s="8">
        <v>0</v>
      </c>
      <c r="AQ5">
        <v>0</v>
      </c>
      <c r="AR5">
        <v>8.6999999999999993</v>
      </c>
      <c r="AS5">
        <v>21.3</v>
      </c>
      <c r="AT5">
        <v>24.7</v>
      </c>
      <c r="AU5">
        <v>16.7</v>
      </c>
      <c r="AV5">
        <v>17.3</v>
      </c>
      <c r="AW5">
        <v>8</v>
      </c>
      <c r="AX5">
        <v>3.3</v>
      </c>
      <c r="AY5" s="9">
        <v>0</v>
      </c>
      <c r="AZ5" s="8">
        <v>35.9</v>
      </c>
      <c r="BA5">
        <v>51.4</v>
      </c>
      <c r="BB5">
        <v>4.3</v>
      </c>
      <c r="BC5" s="18">
        <v>1</v>
      </c>
      <c r="BD5">
        <v>1.5</v>
      </c>
      <c r="BE5">
        <v>2</v>
      </c>
      <c r="BF5">
        <v>2</v>
      </c>
      <c r="BG5" s="9">
        <v>3</v>
      </c>
    </row>
    <row r="6" spans="1:59" ht="28.8">
      <c r="A6" t="s">
        <v>48</v>
      </c>
      <c r="B6" s="2" t="s">
        <v>54</v>
      </c>
      <c r="C6" s="5">
        <v>0.2</v>
      </c>
      <c r="D6" s="6">
        <v>0.4</v>
      </c>
      <c r="E6" s="5">
        <v>0.2</v>
      </c>
      <c r="F6" s="6">
        <v>0.3</v>
      </c>
      <c r="G6" s="5">
        <v>10</v>
      </c>
      <c r="H6" s="6">
        <v>20</v>
      </c>
      <c r="I6" s="5">
        <v>4.8</v>
      </c>
      <c r="J6" s="2">
        <v>2.6</v>
      </c>
      <c r="K6" s="6">
        <f t="shared" si="0"/>
        <v>7</v>
      </c>
      <c r="L6" s="5">
        <v>180</v>
      </c>
      <c r="M6" s="2">
        <v>100</v>
      </c>
      <c r="N6" s="6">
        <f t="shared" si="3"/>
        <v>260</v>
      </c>
      <c r="O6" s="5">
        <v>10</v>
      </c>
      <c r="P6" s="2">
        <v>8</v>
      </c>
      <c r="Q6" s="6">
        <v>12</v>
      </c>
      <c r="R6" s="2" t="s">
        <v>10</v>
      </c>
      <c r="S6" s="5">
        <v>1.2</v>
      </c>
      <c r="T6" s="2">
        <v>1</v>
      </c>
      <c r="U6" s="6">
        <v>4</v>
      </c>
      <c r="V6" s="8">
        <v>6</v>
      </c>
      <c r="W6" s="9">
        <v>8</v>
      </c>
      <c r="X6" s="2">
        <v>0.51</v>
      </c>
      <c r="Y6" s="2">
        <v>0.1</v>
      </c>
      <c r="Z6" s="13">
        <v>85</v>
      </c>
      <c r="AA6" s="5">
        <v>9</v>
      </c>
      <c r="AB6" s="2">
        <v>9</v>
      </c>
      <c r="AC6" s="6">
        <v>10</v>
      </c>
      <c r="AD6" s="5">
        <v>0.68</v>
      </c>
      <c r="AE6" s="2">
        <f t="shared" si="1"/>
        <v>0.58000000000000007</v>
      </c>
      <c r="AF6" s="6">
        <v>0.78</v>
      </c>
      <c r="AG6" s="5" t="s">
        <v>13</v>
      </c>
      <c r="AH6" t="s">
        <v>14</v>
      </c>
      <c r="AI6" s="2" t="s">
        <v>13</v>
      </c>
      <c r="AJ6" s="2" t="s">
        <v>13</v>
      </c>
      <c r="AK6" s="2" t="s">
        <v>13</v>
      </c>
      <c r="AL6" s="6" t="s">
        <v>13</v>
      </c>
      <c r="AM6">
        <f t="shared" si="2"/>
        <v>6.25</v>
      </c>
      <c r="AN6">
        <f t="shared" si="2"/>
        <v>6.25</v>
      </c>
      <c r="AO6">
        <f>70/(5+5+70)*100</f>
        <v>87.5</v>
      </c>
      <c r="AP6" s="8">
        <v>0</v>
      </c>
      <c r="AQ6">
        <v>0</v>
      </c>
      <c r="AR6">
        <v>8.6999999999999993</v>
      </c>
      <c r="AS6">
        <v>21.3</v>
      </c>
      <c r="AT6">
        <v>24.7</v>
      </c>
      <c r="AU6">
        <v>16.7</v>
      </c>
      <c r="AV6">
        <v>17.3</v>
      </c>
      <c r="AW6">
        <v>8</v>
      </c>
      <c r="AX6">
        <v>3.3</v>
      </c>
      <c r="AY6" s="9">
        <v>0</v>
      </c>
      <c r="AZ6" s="8">
        <v>35.9</v>
      </c>
      <c r="BA6">
        <v>51.4</v>
      </c>
      <c r="BB6">
        <v>4.3</v>
      </c>
      <c r="BC6" s="18">
        <v>1</v>
      </c>
      <c r="BD6">
        <v>1.5</v>
      </c>
      <c r="BE6">
        <v>2</v>
      </c>
      <c r="BF6">
        <v>2</v>
      </c>
      <c r="BG6" s="9">
        <v>3</v>
      </c>
    </row>
    <row r="7" spans="1:59" ht="57.6">
      <c r="A7" t="s">
        <v>49</v>
      </c>
      <c r="B7" s="2" t="s">
        <v>55</v>
      </c>
      <c r="C7" s="5">
        <v>0.4</v>
      </c>
      <c r="D7" s="6">
        <v>0.8</v>
      </c>
      <c r="E7" s="5">
        <v>0.15</v>
      </c>
      <c r="F7" s="6">
        <v>0.2</v>
      </c>
      <c r="G7" s="5">
        <v>2</v>
      </c>
      <c r="H7" s="6">
        <v>5</v>
      </c>
      <c r="I7" s="5">
        <v>4.5</v>
      </c>
      <c r="J7" s="2">
        <v>3</v>
      </c>
      <c r="K7" s="6">
        <f t="shared" si="0"/>
        <v>6</v>
      </c>
      <c r="L7" s="5">
        <v>210</v>
      </c>
      <c r="M7" s="2">
        <v>130</v>
      </c>
      <c r="N7" s="6">
        <f t="shared" si="3"/>
        <v>290</v>
      </c>
      <c r="O7" s="5">
        <v>26</v>
      </c>
      <c r="P7" s="2">
        <v>18</v>
      </c>
      <c r="Q7" s="6">
        <v>32</v>
      </c>
      <c r="R7" s="2" t="s">
        <v>11</v>
      </c>
      <c r="S7" s="5">
        <v>8.5</v>
      </c>
      <c r="T7" s="2">
        <v>6</v>
      </c>
      <c r="U7" s="6">
        <v>60</v>
      </c>
      <c r="V7" s="8">
        <v>8</v>
      </c>
      <c r="W7" s="9">
        <v>12</v>
      </c>
      <c r="X7" s="2">
        <v>0.54</v>
      </c>
      <c r="Y7" s="2">
        <v>0.12</v>
      </c>
      <c r="Z7" s="13">
        <v>27</v>
      </c>
      <c r="AA7" s="5">
        <v>5</v>
      </c>
      <c r="AB7" s="2">
        <v>4</v>
      </c>
      <c r="AC7" s="6">
        <v>7</v>
      </c>
      <c r="AD7" s="5">
        <v>0.56999999999999995</v>
      </c>
      <c r="AE7" s="2">
        <f t="shared" si="1"/>
        <v>0.46999999999999986</v>
      </c>
      <c r="AF7" s="6">
        <v>0.67</v>
      </c>
      <c r="AG7" s="5" t="s">
        <v>14</v>
      </c>
      <c r="AH7" s="21" t="s">
        <v>13</v>
      </c>
      <c r="AI7" s="2" t="s">
        <v>13</v>
      </c>
      <c r="AJ7" s="2" t="s">
        <v>13</v>
      </c>
      <c r="AK7" s="2" t="s">
        <v>13</v>
      </c>
      <c r="AL7" s="6" t="s">
        <v>13</v>
      </c>
      <c r="AM7">
        <f>15/(15+5+60)*100</f>
        <v>18.75</v>
      </c>
      <c r="AN7">
        <f>5/(15+5+60)*100</f>
        <v>6.25</v>
      </c>
      <c r="AO7">
        <f>60/(15+5+60)*100</f>
        <v>75</v>
      </c>
      <c r="AP7" s="8">
        <v>7.7</v>
      </c>
      <c r="AQ7">
        <v>20.5</v>
      </c>
      <c r="AR7">
        <v>23.2</v>
      </c>
      <c r="AS7">
        <v>17.899999999999999</v>
      </c>
      <c r="AT7">
        <v>5.0999999999999996</v>
      </c>
      <c r="AU7">
        <v>7.7</v>
      </c>
      <c r="AV7">
        <v>7.7</v>
      </c>
      <c r="AW7">
        <v>5.0999999999999996</v>
      </c>
      <c r="AX7">
        <v>5.0999999999999996</v>
      </c>
      <c r="AY7" s="9">
        <v>0</v>
      </c>
      <c r="AZ7" s="8">
        <v>35.9</v>
      </c>
      <c r="BA7">
        <v>51.4</v>
      </c>
      <c r="BB7">
        <v>4.3</v>
      </c>
      <c r="BC7" s="18">
        <v>4</v>
      </c>
      <c r="BD7">
        <v>4</v>
      </c>
      <c r="BE7">
        <v>4</v>
      </c>
      <c r="BF7">
        <v>4</v>
      </c>
      <c r="BG7" s="9">
        <v>6</v>
      </c>
    </row>
    <row r="8" spans="1:59" ht="28.8">
      <c r="A8" t="s">
        <v>50</v>
      </c>
      <c r="B8" s="2" t="s">
        <v>56</v>
      </c>
      <c r="C8" s="5">
        <v>0.8</v>
      </c>
      <c r="D8" s="6">
        <v>1.2</v>
      </c>
      <c r="E8" s="5">
        <v>0.1</v>
      </c>
      <c r="F8" s="6">
        <v>0.2</v>
      </c>
      <c r="G8" s="5">
        <v>3</v>
      </c>
      <c r="H8" s="6">
        <v>7</v>
      </c>
      <c r="I8" s="5">
        <v>5.9</v>
      </c>
      <c r="J8" s="2">
        <v>5.0999999999999996</v>
      </c>
      <c r="K8" s="6">
        <f t="shared" si="0"/>
        <v>6.7000000000000011</v>
      </c>
      <c r="L8" s="5">
        <v>176</v>
      </c>
      <c r="M8" s="2">
        <v>75</v>
      </c>
      <c r="N8" s="6">
        <v>310</v>
      </c>
      <c r="O8" s="5">
        <v>30</v>
      </c>
      <c r="P8" s="2">
        <v>20</v>
      </c>
      <c r="Q8" s="6">
        <v>40</v>
      </c>
      <c r="R8" s="2" t="s">
        <v>12</v>
      </c>
      <c r="S8" s="5">
        <v>41</v>
      </c>
      <c r="T8" s="2">
        <v>20</v>
      </c>
      <c r="U8" s="6">
        <v>80</v>
      </c>
      <c r="V8" s="8">
        <v>4</v>
      </c>
      <c r="W8" s="9">
        <v>8</v>
      </c>
      <c r="X8" s="2">
        <v>1</v>
      </c>
      <c r="Y8" s="2">
        <v>0</v>
      </c>
      <c r="Z8" s="13">
        <v>23</v>
      </c>
      <c r="AA8" s="5">
        <v>2.2000000000000002</v>
      </c>
      <c r="AB8" s="2">
        <v>2</v>
      </c>
      <c r="AC8" s="6">
        <v>3</v>
      </c>
      <c r="AD8" s="5">
        <v>0.66</v>
      </c>
      <c r="AE8" s="2">
        <f t="shared" si="1"/>
        <v>0.60000000000000009</v>
      </c>
      <c r="AF8" s="6">
        <v>0.72</v>
      </c>
      <c r="AG8" s="5" t="s">
        <v>6</v>
      </c>
      <c r="AH8" t="s">
        <v>13</v>
      </c>
      <c r="AI8" s="2" t="s">
        <v>13</v>
      </c>
      <c r="AJ8" s="2" t="s">
        <v>14</v>
      </c>
      <c r="AK8" s="2" t="s">
        <v>13</v>
      </c>
      <c r="AL8" s="6" t="s">
        <v>13</v>
      </c>
      <c r="AM8">
        <f>5/(5+5+70)*100</f>
        <v>6.25</v>
      </c>
      <c r="AN8">
        <f>5/(5+5+70)*100</f>
        <v>6.25</v>
      </c>
      <c r="AO8">
        <f>70/(5+5+70)*100</f>
        <v>87.5</v>
      </c>
      <c r="AP8" s="8">
        <v>0</v>
      </c>
      <c r="AQ8">
        <v>0</v>
      </c>
      <c r="AR8">
        <v>0</v>
      </c>
      <c r="AS8">
        <v>0</v>
      </c>
      <c r="AT8">
        <v>44.5</v>
      </c>
      <c r="AU8">
        <v>22.2</v>
      </c>
      <c r="AV8">
        <v>11.1</v>
      </c>
      <c r="AW8">
        <v>11.1</v>
      </c>
      <c r="AX8">
        <v>11.1</v>
      </c>
      <c r="AY8" s="9">
        <v>0</v>
      </c>
      <c r="AZ8" s="8">
        <v>35.9</v>
      </c>
      <c r="BA8">
        <v>51.4</v>
      </c>
      <c r="BB8">
        <v>4.3</v>
      </c>
      <c r="BC8" s="18">
        <v>6.5</v>
      </c>
      <c r="BD8">
        <v>7.5</v>
      </c>
      <c r="BE8">
        <v>9</v>
      </c>
      <c r="BF8">
        <v>11</v>
      </c>
      <c r="BG8" s="9">
        <v>19</v>
      </c>
    </row>
    <row r="9" spans="1:59" ht="28.8">
      <c r="A9" t="s">
        <v>6</v>
      </c>
      <c r="B9" s="2" t="s">
        <v>57</v>
      </c>
      <c r="C9" s="5">
        <v>0.5</v>
      </c>
      <c r="D9" s="6">
        <v>1.5</v>
      </c>
      <c r="E9" s="5">
        <v>0.3</v>
      </c>
      <c r="F9" s="6">
        <v>0.5</v>
      </c>
      <c r="G9" s="5">
        <v>8</v>
      </c>
      <c r="H9" s="6">
        <v>16</v>
      </c>
      <c r="I9" s="5">
        <v>4.3</v>
      </c>
      <c r="J9" s="2">
        <v>2.6</v>
      </c>
      <c r="K9" s="6">
        <f t="shared" si="0"/>
        <v>6</v>
      </c>
      <c r="L9" s="5">
        <v>170</v>
      </c>
      <c r="M9" s="2">
        <v>110</v>
      </c>
      <c r="N9" s="6">
        <f>L9*2-M9</f>
        <v>230</v>
      </c>
      <c r="O9" s="5">
        <v>31</v>
      </c>
      <c r="P9" s="2">
        <v>19.5</v>
      </c>
      <c r="Q9" s="6">
        <v>42</v>
      </c>
      <c r="R9" s="2" t="s">
        <v>10</v>
      </c>
      <c r="S9" s="5">
        <v>9.1999999999999993</v>
      </c>
      <c r="T9" s="2">
        <v>6</v>
      </c>
      <c r="U9" s="6">
        <v>15</v>
      </c>
      <c r="V9" s="5">
        <v>4</v>
      </c>
      <c r="W9" s="6">
        <v>8</v>
      </c>
      <c r="X9" s="2">
        <v>0.52</v>
      </c>
      <c r="Y9" s="2">
        <v>0.08</v>
      </c>
      <c r="Z9" s="13">
        <v>30</v>
      </c>
      <c r="AA9" s="5">
        <v>3.2</v>
      </c>
      <c r="AB9" s="2">
        <v>3</v>
      </c>
      <c r="AC9" s="6">
        <v>4</v>
      </c>
      <c r="AD9" s="5">
        <v>0.61</v>
      </c>
      <c r="AE9" s="2">
        <f t="shared" si="1"/>
        <v>0.5</v>
      </c>
      <c r="AF9" s="6">
        <v>0.72</v>
      </c>
      <c r="AG9" s="5" t="s">
        <v>14</v>
      </c>
      <c r="AH9" t="s">
        <v>6</v>
      </c>
      <c r="AI9" s="2" t="s">
        <v>6</v>
      </c>
      <c r="AJ9" s="2" t="s">
        <v>14</v>
      </c>
      <c r="AK9" s="2" t="s">
        <v>13</v>
      </c>
      <c r="AL9" s="6" t="s">
        <v>13</v>
      </c>
      <c r="AM9">
        <f>20/(20+15+45)*100</f>
        <v>25</v>
      </c>
      <c r="AN9">
        <f>15/(20+15+45)*100</f>
        <v>18.75</v>
      </c>
      <c r="AO9">
        <f>45/(20+15+45)*100</f>
        <v>56.25</v>
      </c>
      <c r="AP9" s="8">
        <v>46.9</v>
      </c>
      <c r="AQ9">
        <v>53.1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s="9">
        <v>0</v>
      </c>
      <c r="AZ9" s="8">
        <v>35.9</v>
      </c>
      <c r="BA9">
        <v>51.4</v>
      </c>
      <c r="BB9">
        <v>4.3</v>
      </c>
      <c r="BC9" s="18">
        <v>2</v>
      </c>
      <c r="BD9">
        <v>3</v>
      </c>
      <c r="BE9">
        <v>4</v>
      </c>
      <c r="BF9">
        <v>5</v>
      </c>
      <c r="BG9" s="9">
        <v>6</v>
      </c>
    </row>
    <row r="10" spans="1:59" ht="29.4" thickBot="1">
      <c r="A10" t="s">
        <v>51</v>
      </c>
      <c r="B10" s="2" t="s">
        <v>58</v>
      </c>
      <c r="C10" s="16">
        <v>1.5</v>
      </c>
      <c r="D10" s="17">
        <v>4.5</v>
      </c>
      <c r="E10" s="5">
        <v>0.7</v>
      </c>
      <c r="F10" s="6">
        <v>0.8</v>
      </c>
      <c r="G10" s="5">
        <v>20</v>
      </c>
      <c r="H10" s="6">
        <v>40</v>
      </c>
      <c r="I10" s="5">
        <v>5.0999999999999996</v>
      </c>
      <c r="J10" s="2">
        <v>3</v>
      </c>
      <c r="K10" s="6">
        <f t="shared" si="0"/>
        <v>7.1999999999999993</v>
      </c>
      <c r="L10" s="5">
        <v>155</v>
      </c>
      <c r="M10" s="2">
        <v>90</v>
      </c>
      <c r="N10" s="6">
        <f>L10*2-M10</f>
        <v>220</v>
      </c>
      <c r="O10" s="5">
        <v>15</v>
      </c>
      <c r="P10" s="2">
        <v>8</v>
      </c>
      <c r="Q10" s="6">
        <v>20.5</v>
      </c>
      <c r="R10" s="2" t="s">
        <v>10</v>
      </c>
      <c r="S10" s="5">
        <v>5.7</v>
      </c>
      <c r="T10" s="2">
        <v>2</v>
      </c>
      <c r="U10" s="6">
        <v>12</v>
      </c>
      <c r="V10" s="8">
        <v>4</v>
      </c>
      <c r="W10" s="9">
        <v>8</v>
      </c>
      <c r="X10" s="2">
        <v>0.52</v>
      </c>
      <c r="Y10" s="2">
        <v>0.1</v>
      </c>
      <c r="Z10" s="13">
        <v>65</v>
      </c>
      <c r="AA10" s="5">
        <v>3</v>
      </c>
      <c r="AB10" s="2">
        <v>3</v>
      </c>
      <c r="AC10" s="6">
        <v>4.4000000000000004</v>
      </c>
      <c r="AD10" s="5">
        <v>0.52</v>
      </c>
      <c r="AE10" s="2">
        <f>AD10*2-AF10</f>
        <v>0.39</v>
      </c>
      <c r="AF10" s="6">
        <v>0.65</v>
      </c>
      <c r="AG10" s="5" t="s">
        <v>14</v>
      </c>
      <c r="AH10" t="s">
        <v>6</v>
      </c>
      <c r="AI10" s="2" t="s">
        <v>6</v>
      </c>
      <c r="AJ10" s="2" t="s">
        <v>6</v>
      </c>
      <c r="AK10" s="2" t="s">
        <v>14</v>
      </c>
      <c r="AL10" s="6" t="s">
        <v>13</v>
      </c>
      <c r="AM10">
        <f>20/(20+15+45)*100</f>
        <v>25</v>
      </c>
      <c r="AN10">
        <f>15/(20+15+45)*100</f>
        <v>18.75</v>
      </c>
      <c r="AO10">
        <f>45/(20+15+45)*100</f>
        <v>56.25</v>
      </c>
      <c r="AP10" s="10">
        <v>86.2</v>
      </c>
      <c r="AQ10" s="14">
        <v>13.8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1">
        <v>0</v>
      </c>
      <c r="AZ10" s="10">
        <v>35.9</v>
      </c>
      <c r="BA10" s="14">
        <v>51.4</v>
      </c>
      <c r="BB10" s="14">
        <v>4.3</v>
      </c>
      <c r="BC10" s="19">
        <v>2.5</v>
      </c>
      <c r="BD10" s="14">
        <v>3.5</v>
      </c>
      <c r="BE10" s="14">
        <v>3.5</v>
      </c>
      <c r="BF10" s="14">
        <v>4.5</v>
      </c>
      <c r="BG10" s="11">
        <v>6.5</v>
      </c>
    </row>
    <row r="11" spans="1:59" ht="105" customHeight="1" thickBot="1">
      <c r="A11" s="15" t="s">
        <v>74</v>
      </c>
      <c r="B11" s="25" t="s">
        <v>75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7"/>
      <c r="AM11" s="22" t="s">
        <v>87</v>
      </c>
      <c r="AN11" s="23"/>
      <c r="AO11" s="23"/>
      <c r="AP11" s="22" t="s">
        <v>76</v>
      </c>
      <c r="AQ11" s="23"/>
      <c r="AR11" s="23"/>
      <c r="AS11" s="23"/>
      <c r="AT11" s="23"/>
      <c r="AU11" s="23"/>
      <c r="AV11" s="23"/>
      <c r="AW11" s="23"/>
      <c r="AX11" s="23"/>
      <c r="AY11" s="24"/>
      <c r="AZ11" s="22" t="s">
        <v>77</v>
      </c>
      <c r="BA11" s="23"/>
      <c r="BB11" s="24"/>
      <c r="BC11" s="22" t="s">
        <v>78</v>
      </c>
      <c r="BD11" s="23"/>
      <c r="BE11" s="23"/>
      <c r="BF11" s="23"/>
      <c r="BG11" s="24"/>
    </row>
  </sheetData>
  <mergeCells count="5">
    <mergeCell ref="AZ11:BB11"/>
    <mergeCell ref="BC11:BG11"/>
    <mergeCell ref="AM11:AO11"/>
    <mergeCell ref="B11:AL11"/>
    <mergeCell ref="AP11:AY11"/>
  </mergeCells>
  <phoneticPr fontId="2" type="noConversion"/>
  <conditionalFormatting sqref="C2: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Rawad Hamze</dc:creator>
  <cp:lastModifiedBy>Rawad Hamze</cp:lastModifiedBy>
  <dcterms:created xsi:type="dcterms:W3CDTF">2025-02-05T12:27:52Z</dcterms:created>
  <dcterms:modified xsi:type="dcterms:W3CDTF">2026-07-16T13:43:23Z</dcterms:modified>
</cp:coreProperties>
</file>