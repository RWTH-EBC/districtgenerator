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DieseArbeitsmappe" defaultThemeVersion="166925"/>
  <mc:AlternateContent xmlns:mc="http://schemas.openxmlformats.org/markup-compatibility/2006">
    <mc:Choice Requires="x15">
      <x15ac:absPath xmlns:x15ac="http://schemas.microsoft.com/office/spreadsheetml/2010/11/ac" url="https://tudublin-my.sharepoint.com/personal/d17128779_mytudublin_ie/Documents/GitHub/Nichtwohngebaeude-Typologie-Deutschland/"/>
    </mc:Choice>
  </mc:AlternateContent>
  <xr:revisionPtr revIDLastSave="8" documentId="13_ncr:1_{387BF4DB-8633-4E76-9DF9-61B1B8E63F2B}" xr6:coauthVersionLast="47" xr6:coauthVersionMax="47" xr10:uidLastSave="{0CD453F1-A288-41F4-8E8B-89EABD6A3FCE}"/>
  <bookViews>
    <workbookView xWindow="-120" yWindow="-120" windowWidth="29040" windowHeight="15720" tabRatio="880" xr2:uid="{71CD3CBB-5854-410B-B1D9-89E9BAB7E659}"/>
  </bookViews>
  <sheets>
    <sheet name="NWG-Typologie" sheetId="28" r:id="rId1"/>
    <sheet name="Überblick" sheetId="12" r:id="rId2"/>
    <sheet name="Anzahl_NWG" sheetId="2" r:id="rId3"/>
    <sheet name="Anzahl_fossil_elt" sheetId="25" r:id="rId4"/>
    <sheet name="NRF" sheetId="4" r:id="rId5"/>
    <sheet name="EBF" sheetId="3" r:id="rId6"/>
    <sheet name="EBF_fossil_elt" sheetId="26" r:id="rId7"/>
    <sheet name="maxP" sheetId="27" r:id="rId8"/>
    <sheet name="ober_BV" sheetId="18" r:id="rId9"/>
    <sheet name="HOEHE" sheetId="19" r:id="rId10"/>
    <sheet name="F_fl" sheetId="5" r:id="rId11"/>
    <sheet name="AW_fl" sheetId="6" r:id="rId12"/>
    <sheet name="unterAW_fl" sheetId="11" r:id="rId13"/>
    <sheet name="Fen_fl" sheetId="7" r:id="rId14"/>
    <sheet name="WUEOA_opak_fl" sheetId="8" r:id="rId15"/>
    <sheet name="WUEOA_transp_fl" sheetId="9" r:id="rId16"/>
    <sheet name="WUEUA_fl" sheetId="10" r:id="rId17"/>
    <sheet name="U_AW_mfl" sheetId="13" r:id="rId18"/>
    <sheet name="U_Fen_mfl" sheetId="14" r:id="rId19"/>
    <sheet name="U_d_opak_mfl" sheetId="15" r:id="rId20"/>
    <sheet name="U_d_transp_mfl" sheetId="16" r:id="rId21"/>
    <sheet name="U_ug_mfl" sheetId="17" r:id="rId22"/>
    <sheet name="u_geb_mfl" sheetId="33" r:id="rId23"/>
    <sheet name="e_Werz_mI" sheetId="20" r:id="rId24"/>
    <sheet name="e_Werz_elt_mI" sheetId="22" r:id="rId25"/>
    <sheet name="e_Werz_fossil_mI" sheetId="23" r:id="rId26"/>
    <sheet name="q-d-spez_mI" sheetId="29" r:id="rId27"/>
    <sheet name="q-d-spez-fossil_mI" sheetId="30" r:id="rId28"/>
    <sheet name="q-d-spez-elt_mI" sheetId="31" r:id="rId2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 i="11" l="1"/>
  <c r="J4" i="11"/>
  <c r="F4" i="11"/>
  <c r="B4" i="11"/>
  <c r="A1" i="11"/>
  <c r="N18" i="10" l="1"/>
  <c r="J18" i="10"/>
  <c r="F18" i="10"/>
  <c r="B18" i="10"/>
  <c r="N4" i="10"/>
  <c r="J4" i="10"/>
  <c r="F4" i="10"/>
  <c r="B4" i="10"/>
  <c r="A1" i="10"/>
  <c r="A26" i="9" l="1"/>
  <c r="N18" i="9"/>
  <c r="J18" i="9"/>
  <c r="F18" i="9"/>
  <c r="B18" i="9"/>
  <c r="N4" i="9"/>
  <c r="J4" i="9"/>
  <c r="F4" i="9"/>
  <c r="B4" i="9"/>
  <c r="A1" i="9"/>
  <c r="N4" i="8" l="1"/>
  <c r="J4" i="8"/>
  <c r="F4" i="8"/>
  <c r="B4" i="8"/>
  <c r="A1" i="8"/>
  <c r="A1" i="7" l="1"/>
  <c r="N18" i="7"/>
  <c r="J18" i="7"/>
  <c r="F18" i="7"/>
  <c r="B18" i="7"/>
  <c r="N4" i="7"/>
  <c r="J4" i="7"/>
  <c r="F4" i="7"/>
  <c r="B4" i="7"/>
  <c r="A1" i="6" l="1"/>
  <c r="N4" i="6"/>
  <c r="J4" i="6"/>
  <c r="F4" i="6"/>
  <c r="B4" i="6"/>
</calcChain>
</file>

<file path=xl/sharedStrings.xml><?xml version="1.0" encoding="utf-8"?>
<sst xmlns="http://schemas.openxmlformats.org/spreadsheetml/2006/main" count="1902" uniqueCount="281">
  <si>
    <t>Gebäude-Baualtersklasse (bak_grob)</t>
  </si>
  <si>
    <t>Altbau (errichtet bis 1978 einschließlich) (1)</t>
  </si>
  <si>
    <t>Bestandsbau (errichtet nach 1978 aber vor 2010)  (2)</t>
  </si>
  <si>
    <t>Neubau (errichtet ab 2010) (3)</t>
  </si>
  <si>
    <t>Gesamt</t>
  </si>
  <si>
    <t>Gebäude-Hauptfunktion (HK_Geb)</t>
  </si>
  <si>
    <t>Anzahl in TSD</t>
  </si>
  <si>
    <t>abs. 
Standardfehler in TSD</t>
  </si>
  <si>
    <t>rel. Standardfehler  in %</t>
  </si>
  <si>
    <t>Fallzahl der gültigen Werte</t>
  </si>
  <si>
    <t>Büro-, Verwaltungs- oder Amtsgebäude (1)</t>
  </si>
  <si>
    <t>Gebäude für Forschung und Hochschullehre (2)</t>
  </si>
  <si>
    <t>Gebäude für Gesundheit und Pflege (3)</t>
  </si>
  <si>
    <t>Schule, Kindertagesstätte und sonstiges Betreuungsgebäude (4)</t>
  </si>
  <si>
    <t>Gebäude für Kultur und Freizeit (5)</t>
  </si>
  <si>
    <t>Sportgebäude (6)</t>
  </si>
  <si>
    <t>Beherbergungs- oder Unterbringungsgebäude, Gastronomie- oder Verpflegungsgebäude (7)</t>
  </si>
  <si>
    <t>Produktions-, Werkstatt-, Lager- oder Betriebsgebäude (8)</t>
  </si>
  <si>
    <t>Handelsgebäude (9)</t>
  </si>
  <si>
    <t>Technikgebäude (Ver- und Entsorgung) (10)</t>
  </si>
  <si>
    <t>Verkehrsgebäude (11)</t>
  </si>
  <si>
    <t>agg. Gebäude-Hauptfunktion (hk_geb_agg)</t>
  </si>
  <si>
    <t>(1) Dienstleistungsgebäude, HK_Geb = (1) bis (7) und (9)</t>
  </si>
  <si>
    <t>(2) Produktions- und ähnliche Gebäude, HK_Geb = (8), (10), (11)</t>
  </si>
  <si>
    <t>Gesamt 1</t>
  </si>
  <si>
    <t>Datenstand 21.04.2021</t>
  </si>
  <si>
    <t>(n.nnn)</t>
  </si>
  <si>
    <r>
      <t xml:space="preserve">relativer Standardfehler </t>
    </r>
    <r>
      <rPr>
        <sz val="11"/>
        <color theme="1"/>
        <rFont val="Calibri"/>
        <family val="2"/>
      </rPr>
      <t>≥</t>
    </r>
    <r>
      <rPr>
        <sz val="11"/>
        <color theme="1"/>
        <rFont val="Calibri"/>
        <family val="2"/>
        <scheme val="minor"/>
      </rPr>
      <t xml:space="preserve"> 50% oder gültige Fallzahl ≤ 5</t>
    </r>
  </si>
  <si>
    <r>
      <t>(</t>
    </r>
    <r>
      <rPr>
        <strike/>
        <sz val="11"/>
        <color rgb="FFFF0000"/>
        <rFont val="Calibri"/>
        <family val="2"/>
        <scheme val="minor"/>
      </rPr>
      <t>n.nnn</t>
    </r>
    <r>
      <rPr>
        <sz val="11"/>
        <color rgb="FFFF0000"/>
        <rFont val="Calibri"/>
        <family val="2"/>
        <scheme val="minor"/>
      </rPr>
      <t>)</t>
    </r>
  </si>
  <si>
    <t>gültige Fallzahl ≤ 1</t>
  </si>
  <si>
    <t>1.3.3.1 Mittlere EBF (ebf) in m2 für alle GEG-relevanten Nichtwohngebäude nach Gebäude-Hauptfunktion und grober Gebäude-Baualtersklasse (Breitenerhebung)</t>
  </si>
  <si>
    <t>GEG-relevante NWG (enev_rel_nwg_be)</t>
  </si>
  <si>
    <t>EBF (beheizte und/oder gekühlte nrf_2)</t>
  </si>
  <si>
    <t>Zwischenbau (errichtet nach 1978 aber vor 2010)  (2)</t>
  </si>
  <si>
    <t>Hauptgebäudefunktion (HK_Geb)</t>
  </si>
  <si>
    <t>Mittlere EBF in m2</t>
  </si>
  <si>
    <t>abs. 
Standardfehler  in m2</t>
  </si>
  <si>
    <t>abs. Standardfehler in m2</t>
  </si>
  <si>
    <t>aggregierte Hauptgebäudefunktion (HK_Geb_agg)</t>
  </si>
  <si>
    <t>Datenstand 20.10.2021</t>
  </si>
  <si>
    <t>relativer Standardfehler ³ 50% oder gültige Fallzahl ≤ 5</t>
  </si>
  <si>
    <t>1.3.13. Anzahl (N) GEG-relevanter NWG nach Gebäude-Hauptfunktion und grober Gebäude-Baualtersklasse (Breitenerhebung)</t>
  </si>
  <si>
    <t>1.3.3. Mittlere NRF (nrf_2) in m2 für alle GEG-relevanten Nichtwohngebäude nach Gebäude-Hauptfunktion und grober Gebäude-Baualtersklasse (Breitenerhebung)</t>
  </si>
  <si>
    <t>Nettoraumfläche</t>
  </si>
  <si>
    <t>Mittlere NRF_2 in m2</t>
  </si>
  <si>
    <t>agg. Gebäude-Hauptfunktion (HK_Geb_agg)</t>
  </si>
  <si>
    <t>Datenstand 12.04.2022</t>
  </si>
  <si>
    <t>nrf_2 [m²]</t>
  </si>
  <si>
    <t>1.3.2. Mittlere Fassadenfläche (f_fl [m²]) für alle GEG-relevanten Nichtwohngebäude nach Gebäude-Hauptfunktion und grober Gebäude-Baualtersklasse (Breitenerhebung)</t>
  </si>
  <si>
    <t>Mittlere Fassadenfläche</t>
  </si>
  <si>
    <t>f_fl [m²]</t>
  </si>
  <si>
    <t>Mittlere f_fl [m²] in m2</t>
  </si>
  <si>
    <t>aggregierte Gebäude-Hauptfunktion (HK_Geb_agg)</t>
  </si>
  <si>
    <t>Mittlere f_fl in m2</t>
  </si>
  <si>
    <t>Datenstand 07.09.2021</t>
  </si>
  <si>
    <t>Mittlere Außenwandfläche</t>
  </si>
  <si>
    <r>
      <t>abs. 
Standardfehler  in m</t>
    </r>
    <r>
      <rPr>
        <vertAlign val="superscript"/>
        <sz val="11"/>
        <color theme="1"/>
        <rFont val="Calibri"/>
        <family val="2"/>
        <scheme val="minor"/>
      </rPr>
      <t>2</t>
    </r>
  </si>
  <si>
    <r>
      <t>abs. Standardfehler in m</t>
    </r>
    <r>
      <rPr>
        <vertAlign val="superscript"/>
        <sz val="11"/>
        <color theme="1"/>
        <rFont val="Calibri"/>
        <family val="2"/>
        <scheme val="minor"/>
      </rPr>
      <t>2</t>
    </r>
  </si>
  <si>
    <t>Mittlere aw_fl in m2</t>
  </si>
  <si>
    <t>… (1) Dienstleistungsgebäude, HK_Geb = (1) bis (7) und (9)</t>
  </si>
  <si>
    <t>… (2) Produktions- und ähnliche Gebäude, HK_Geb = (8), (10), (11)</t>
  </si>
  <si>
    <t>Datenstand 22.04.2021</t>
  </si>
  <si>
    <r>
      <t xml:space="preserve">relativer Standardfehler </t>
    </r>
    <r>
      <rPr>
        <sz val="11"/>
        <color theme="1"/>
        <rFont val="Symbol"/>
        <family val="1"/>
        <charset val="2"/>
      </rPr>
      <t>³</t>
    </r>
    <r>
      <rPr>
        <sz val="11"/>
        <color theme="1"/>
        <rFont val="Calibri"/>
        <family val="2"/>
        <scheme val="minor"/>
      </rPr>
      <t xml:space="preserve"> 50% oder gültige Fallzahl </t>
    </r>
    <r>
      <rPr>
        <sz val="11"/>
        <color theme="1"/>
        <rFont val="Calibri"/>
        <family val="2"/>
      </rPr>
      <t>≤</t>
    </r>
    <r>
      <rPr>
        <sz val="11"/>
        <color theme="1"/>
        <rFont val="Calibri"/>
        <family val="2"/>
        <scheme val="minor"/>
      </rPr>
      <t xml:space="preserve"> 5</t>
    </r>
  </si>
  <si>
    <r>
      <t xml:space="preserve">gültige Fallzahl </t>
    </r>
    <r>
      <rPr>
        <sz val="11"/>
        <color theme="1"/>
        <rFont val="Calibri"/>
        <family val="2"/>
      </rPr>
      <t>≤ 1</t>
    </r>
  </si>
  <si>
    <t>aw_fl [m²]</t>
  </si>
  <si>
    <t>Mittlere Fensterfläche</t>
  </si>
  <si>
    <t>fen_fl [m²]</t>
  </si>
  <si>
    <t>Mittlere wärmeübertragende Fläche des opaken oberen Gebäudeabschlusses</t>
  </si>
  <si>
    <t>D_fl_wueoA_opak [m²]</t>
  </si>
  <si>
    <t>aggregierte Gebäude-Hauptfunktion (hk_geb_agg)</t>
  </si>
  <si>
    <t>Mittlere D_fl_wueoA_opak [m²]</t>
  </si>
  <si>
    <t>Datenstand 26.01.2022</t>
  </si>
  <si>
    <t>Die Variable d_fl_be wurde geändert: Wenn dachform_be unbekannt ist auch d_fl_be unbekannt.</t>
  </si>
  <si>
    <t>Mittlere Dach-Fensterfläche (über thermisch konditioniert)</t>
  </si>
  <si>
    <t>d_fl_wueoa_transp [m²]</t>
  </si>
  <si>
    <t>Datenstand 26.07.2022</t>
  </si>
  <si>
    <t>Mittlere wärmeübertragende Fläche des unteren Gebäudeabschlusses</t>
  </si>
  <si>
    <t>UG_fl_wueuA (=GEB_FLAECHE)</t>
  </si>
  <si>
    <t>Dienstleistungsgebäude (1-7, 9)</t>
  </si>
  <si>
    <t>Produktions- und ähnliche Gebäude (8, 10, 11)</t>
  </si>
  <si>
    <t>Datenstand 27.05.2021</t>
  </si>
  <si>
    <t>Mittlere unterirdische Außenwandfläche</t>
  </si>
  <si>
    <t>unteraw_fl [m²]</t>
  </si>
  <si>
    <t>Energiebezugsfläche</t>
  </si>
  <si>
    <t>Beschreibung</t>
  </si>
  <si>
    <r>
      <t>N</t>
    </r>
    <r>
      <rPr>
        <b/>
        <vertAlign val="subscript"/>
        <sz val="11"/>
        <color theme="1"/>
        <rFont val="Calibri"/>
        <family val="2"/>
        <scheme val="minor"/>
      </rPr>
      <t>GEG</t>
    </r>
  </si>
  <si>
    <t>Anzahl GEG-relevanter NWG</t>
  </si>
  <si>
    <t>NRF_2 wurde aus der Bruttogrundfläche (BGF), die über die Geodaten sowie Geschossangaben aus Screening und Breitenerhebung bestimmt wurde,  und Standardangaben zur Konstruktionsfläche abgeleitet.</t>
  </si>
  <si>
    <t>f_fl_geo_iwu</t>
  </si>
  <si>
    <t>nrf_2</t>
  </si>
  <si>
    <t>ebf</t>
  </si>
  <si>
    <t>aw_fl</t>
  </si>
  <si>
    <t>enev_rel_nwg_be</t>
  </si>
  <si>
    <t>unteraw_fl</t>
  </si>
  <si>
    <t>unterirdische Außenwandfläche gegen Erdreich und angrenzende Bebauung (Annahme unbeheizt) des  Gebäudes in m²</t>
  </si>
  <si>
    <t>fen_fl</t>
  </si>
  <si>
    <t>Fensterfläche des gesamten Gebäudes in m² aus der Hüllflächenberechnung über die Geodaten und den Fensterflächenanteilen der Breitenerhebung (qD1 und qXD1).
Achtung: Nur ein Teil der Fassade konnte zur Bestimmung des Fensterflächenanteils berücksichtigt werden.</t>
  </si>
  <si>
    <t>geb_flaeche</t>
  </si>
  <si>
    <t>d_fl_wueoa_opak</t>
  </si>
  <si>
    <t>d_fl_wueoa_transp</t>
  </si>
  <si>
    <t>opake, wärmeübertragende Fläche des oberen Gebäudeabschlusses (bei Steildächern bestehend aus oberen Geschossdecken bzw. Dachflächen, je nach Art der thermischen Konditionierung des Dachraums)</t>
  </si>
  <si>
    <t>transparente, wärmeübertragende Fläche des oberen Gebäudeabschlusses</t>
  </si>
  <si>
    <t>Einheit</t>
  </si>
  <si>
    <t>[ - ]</t>
  </si>
  <si>
    <t>[m²]</t>
  </si>
  <si>
    <t>wärmeübertragende Fläche des unteren Gebäudeabschlusses, der entweder der Bodenplatte oder der Kellerdecke  entspricht (gleich Gebäudegrundfläche als Summe der shape-areas der Hausumringe des Gebäudes)</t>
  </si>
  <si>
    <t xml:space="preserve">aus den Hüllflächendaten Umfang und Höhe abgeleitete Maßzahl der freien Fassadenfläche gegen Außenluft. Fehlende Höhenwerte wurden imputiert. </t>
  </si>
  <si>
    <t>u_aw_mfl</t>
  </si>
  <si>
    <t>Mittlere u_aw_mfl in W/m²K</t>
  </si>
  <si>
    <t>abs. 
Standardfehler  in W/m²K</t>
  </si>
  <si>
    <t>relativer Standardfehler ≥ 50% oder gültige Fallzahl ≤ 5</t>
  </si>
  <si>
    <t>1.3.8.2 Mittlerer flächengewichteter Wärmedurchgangskoeffizient Fenster (u_fen_mfl) in W/m²K für alle GEG-relevanten Nichtwohngebäude nach Gebäude-Hauptfunktion und grober Gebäude-Baualtersklasse (Breitenerhebung)</t>
  </si>
  <si>
    <t>Mittlerer flächengewichteter Wärmedurchgangskoeffizient Fenster</t>
  </si>
  <si>
    <t>u_fen_mfl</t>
  </si>
  <si>
    <t>Mittlere u_fen_mfl in W/m²K</t>
  </si>
  <si>
    <t>Datenstand 25.07.2022</t>
  </si>
  <si>
    <t>xit</t>
  </si>
  <si>
    <t>Mittlerer flächengewichteter Wärmedurchgangskoeffizient des opaken  wärmeübertragenden oberen Gebäudeabschlusses</t>
  </si>
  <si>
    <t>Mittlere u_wueoa_opak_mfl in W/m²K</t>
  </si>
  <si>
    <t>Mittlerer flächengewichteter Wärmedurchgangskoeffizient Dach-Fenster</t>
  </si>
  <si>
    <t>Mittlere u_d_fen_mfl in W/m²K</t>
  </si>
  <si>
    <t>opake Außenwandfläche des Gebäudes (Annahme: beheizt)  gegen Außenluft  in m²: Außenwandfläche = Fassadenfläche - Fensterfläche.</t>
  </si>
  <si>
    <t>Mittlerer flächengewichteter Wärmedurchgangskoeffizient des wärmeübertragenden unteren Gebäudeabschlusses</t>
  </si>
  <si>
    <t>Mittlere u_wueua_mfl in W/m²K</t>
  </si>
  <si>
    <t>1.3.21. Mittleres oberirdisches Bruttovolumen (Ober_BV_iwu [m³]) für alle GEG-relevanten Nichtwohngebäude nach Gebäude-Hauptfunktion und grober Gebäude-Baualtersklasse (Breitenerhebung)</t>
  </si>
  <si>
    <t>Mittleres oberirdisches Bruttovolumen</t>
  </si>
  <si>
    <t>Ober_BV_iwu [m³]</t>
  </si>
  <si>
    <t>Mittlere Ober_BV_iwu [m³]</t>
  </si>
  <si>
    <t>1.3.20. mittlere flächengewichtete oberirdische Höhe (geb_f_hoehe_mittel_iwu_mfl [m]) für alle GEG-relevanten Nichtwohngebäude nach Gebäude-Hauptfunktion und grober Gebäude-Baualtersklasse (Breitenerhebung)</t>
  </si>
  <si>
    <t>mittlere flächengewichtete oberirdische Höhe</t>
  </si>
  <si>
    <t>Mittlere geb_f_hoehe_mittel_iwu_mfl [m]</t>
  </si>
  <si>
    <t>geb_f_hoehe_mittel_iwu_mfl [m] = ober_BV / geb_flaeche</t>
  </si>
  <si>
    <t>1.3.27 Mittlerer Wärmeerzeuger-Aufwandszahl (e_Werz) in [ - ] für alle GEG-relevanten Nichtwohngebäude nach Gebäude-Hauptfunktion und grober Gebäude-Baualtersklasse (Breitenerhebung + DIBS mit Imputation)</t>
  </si>
  <si>
    <t>e_Werz [ - ]</t>
  </si>
  <si>
    <t>Mittlere 
eWerz [ - ]</t>
  </si>
  <si>
    <t>abs. Standardfehler in kWh/m²a</t>
  </si>
  <si>
    <t xml:space="preserve"> -</t>
  </si>
  <si>
    <t>Datenstand 27.07.2022</t>
  </si>
  <si>
    <t>1.3.27.2 Mittlerer Wärmeerzeuger-Aufwandszahl nur elt (e_Werz_elt_mI) in [ - ] für alle GEG-relevanten Nichtwohngebäude nach Gebäude-Hauptfunktion und grober Gebäude-Baualtersklasse (Breitenerhebung + DIBS mit Imputation)</t>
  </si>
  <si>
    <t>Mittlerer Wärmeerzeuger-Aufwandszahl, nur elt, (indirekt berechnet aus Q_h_mean/Q_d_mean, größere NWGs mit mehr Bedarf gehen stärker ein, es entsteht eine Art gewichtetes Mittel)</t>
  </si>
  <si>
    <t>e_Werz_elt_mI [ - ]</t>
  </si>
  <si>
    <t>Mittlerer Wärmeerzeuger-Aufwandszahl, nur fossil, (indirekt berechnet aus Q_h_mean/Q_d_mean, größere NWGs mit mehr Bedarf gehen stärker ein, es entsteht eine Art gewichtetes Mittel)</t>
  </si>
  <si>
    <t>e_Werz_fossil_mI [ - ]</t>
  </si>
  <si>
    <t>Energieträger (fossil.valid)</t>
  </si>
  <si>
    <t>Energieträger (elt.valid)</t>
  </si>
  <si>
    <t>fossil  (0) BAK (1)</t>
  </si>
  <si>
    <t>fossil  (0) BAK (2)</t>
  </si>
  <si>
    <t>fossil  (0) BAK (3)</t>
  </si>
  <si>
    <t>fossil  (0)</t>
  </si>
  <si>
    <t>elektrisch (1) BAK (1)</t>
  </si>
  <si>
    <t>elektrisch (1) BAK (2)</t>
  </si>
  <si>
    <t>elektrisch (1) BAK (3)</t>
  </si>
  <si>
    <t>elektrisch (1)</t>
  </si>
  <si>
    <t>Datenstand 15.06.2022</t>
  </si>
  <si>
    <t>1.3.13.02 Anzahl (GEG-relevante NWG) nach Gebäude-Hauptfunktion, BAK-grob und Energieträger (Breitenerhebung + DIBS mit Imputation)</t>
  </si>
  <si>
    <t>1.3.3.2 Mittlere EBF (ebf) in m2 für alle GEG-relevanten Nichtwohngebäude nach Gebäude-Hauptfunktion und Energieträgerart (Breitenerhebung + DIBS mit Imputation)</t>
  </si>
  <si>
    <t>Energieträgerart (elt.valid)</t>
  </si>
  <si>
    <t>mittlere EBF (beheizte und/oder gekühlte nrf_2)</t>
  </si>
  <si>
    <t>fossil (0)</t>
  </si>
  <si>
    <t>Gesamt (1)</t>
  </si>
  <si>
    <t>Datenstand 03.08.2022</t>
  </si>
  <si>
    <t>1.3.26. Mittlere maximale Anzahl von Personen (maxP) in P für alle GEG-relevanten Nichtwohngebäude nach Gebäude-Hauptfunktion und grober Gebäude-Baualtersklasse (Breitenerhebung)</t>
  </si>
  <si>
    <t xml:space="preserve">Mittlere maximale Anzahl von Personen (maxP) in P </t>
  </si>
  <si>
    <t>maxP_mean [P]</t>
  </si>
  <si>
    <t>Mittlere maxP in P</t>
  </si>
  <si>
    <t>abs. 
Standardfehler  in P</t>
  </si>
  <si>
    <t>(#.###)</t>
  </si>
  <si>
    <t>Anzahl GEG-relevante NWG fossil / elt beheizt</t>
  </si>
  <si>
    <r>
      <t>N</t>
    </r>
    <r>
      <rPr>
        <b/>
        <vertAlign val="subscript"/>
        <sz val="11"/>
        <color theme="1"/>
        <rFont val="Calibri"/>
        <family val="2"/>
        <scheme val="minor"/>
      </rPr>
      <t>GEG,fossil</t>
    </r>
    <r>
      <rPr>
        <b/>
        <sz val="11"/>
        <color theme="1"/>
        <rFont val="Calibri"/>
        <family val="2"/>
        <scheme val="minor"/>
      </rPr>
      <t>; N</t>
    </r>
    <r>
      <rPr>
        <b/>
        <vertAlign val="subscript"/>
        <sz val="11"/>
        <color theme="1"/>
        <rFont val="Calibri"/>
        <family val="2"/>
        <scheme val="minor"/>
      </rPr>
      <t>GEG,elt</t>
    </r>
  </si>
  <si>
    <t>EBF_fossil_elt</t>
  </si>
  <si>
    <t>Maßzahl der Energiebezugsfläche als beheizte und/oder gekühlte NRF_2.</t>
  </si>
  <si>
    <t>Anzahl GEG-relevanter NWG, die fossil / mit Fernwärme bzw.  elektrisch beheizt sind</t>
  </si>
  <si>
    <t>Maßzahl der Energiebezugsfläche in fossil / mit Fernwärme bzw.  elektrisch beheizten NWG.</t>
  </si>
  <si>
    <t>Anzahl der Nichtwohngebäude (NWG), die GEG-relevant sind, also uneingeschränkt in den Anwendungsbereich des § 2 Abs. 1 GEG fallen. Das schließt Gebäude aus, die thermisch nicht konditioniert oder nur gering-konditioniert sind. Siehe auch Projektinfo 8.3.</t>
  </si>
  <si>
    <t>Anzahl_NWG</t>
  </si>
  <si>
    <t>Fassadenfläche</t>
  </si>
  <si>
    <t>Außenwandfläche</t>
  </si>
  <si>
    <t>unterirdische Außenwandfläche</t>
  </si>
  <si>
    <t>Anzahl_NWG_fossil_elt</t>
  </si>
  <si>
    <t>Fensterfläche</t>
  </si>
  <si>
    <t>Fläche des opaken oberen Gebäudeabschlusses</t>
  </si>
  <si>
    <t>Fläche des transparenten oberen Gebäudeabschlusses</t>
  </si>
  <si>
    <t>Fläche des unteren Gebäudeabschlusses</t>
  </si>
  <si>
    <t>w_erz_art_et, enev_rel_nwg_be</t>
  </si>
  <si>
    <t>w_erz_art_et, ebf</t>
  </si>
  <si>
    <t>q25</t>
  </si>
  <si>
    <t>maximale Personenzahl</t>
  </si>
  <si>
    <t xml:space="preserve">maximale Anzahl von Personen (maxP) in P </t>
  </si>
  <si>
    <t>oberirdisches Bruttovolumen</t>
  </si>
  <si>
    <t>ober_bv_iwu</t>
  </si>
  <si>
    <t>[m³]</t>
  </si>
  <si>
    <t>geb_f_hoehe_mittel_iwu</t>
  </si>
  <si>
    <t>oberirdisches Brutto-Volumen der NWG aus den Geodaten berechnet: gebflaeche * geb_f_hoehe_mittel_iwu. Mittlere Höhe der HUs die zum Gebäude gehören (ursprünglich fehlende/ungültige Werte wurden wenn möglich imputiert)</t>
  </si>
  <si>
    <t>oberirdische Höhe der NWG, flächengewichtet: ober_bv_iwu / geb_flaeche</t>
  </si>
  <si>
    <t>oberirdische Höhe</t>
  </si>
  <si>
    <t>[m]</t>
  </si>
  <si>
    <t>U-Wert Außenwand</t>
  </si>
  <si>
    <t>Mittlerer flächengewichteter Wärmedurchgangskoeffizient U der Außenwand</t>
  </si>
  <si>
    <t>u_aw</t>
  </si>
  <si>
    <t>[W/m²K]</t>
  </si>
  <si>
    <t>U-Wert Fenster</t>
  </si>
  <si>
    <t>u_fen</t>
  </si>
  <si>
    <t>Mittlerer flächengewichteter Wärmedurchgangskoeffizient U der Fenster</t>
  </si>
  <si>
    <t>Typologie der Nichtwohngebäude Deutschlands</t>
  </si>
  <si>
    <t>Variable ENOB:dataNWG</t>
  </si>
  <si>
    <t>U-Wert Dach</t>
  </si>
  <si>
    <t>U-Wert Dachfenster</t>
  </si>
  <si>
    <t>u_d_opak</t>
  </si>
  <si>
    <t>u_d_transp</t>
  </si>
  <si>
    <t>Mittlerer flächengewichteter Wärmedurchgangskoeffizient U der Dachfenster</t>
  </si>
  <si>
    <t>Mittlerer flächengewichteter Wärmedurchgangskoeffizient U der opaken Teile des Daches</t>
  </si>
  <si>
    <t>u_d_transp_mfl</t>
  </si>
  <si>
    <t>1.3.29.2 Mittlerer flächengewichteter Wärmedurchgangskoeffizient Dach-Fenster (u_d_transp_mfl) in W/m²K für alle GEG-relevanten Nichtwohngebäude nach Gebäude-Hauptfunktion und grober Gebäude-Baualtersklasse (Breitenerhebung)</t>
  </si>
  <si>
    <t>u_d_opak_mfl</t>
  </si>
  <si>
    <t>1.3.18.2 Mittlerer flächengewichteter Wärmedurchgangskoeffizient des wärmeübertragenden oberen Gebäudeabschlusses (u_d_mfl) in W/m²K für alle GEG-relevanten Nichtwohngebäude nach Gebäude-Hauptfunktion und grober Gebäude-Baualtersklasse (Breitenerhebung)</t>
  </si>
  <si>
    <t>u_ug_mfl</t>
  </si>
  <si>
    <t>1.3.19.2 Mittlerer flächengewichteter Wärmedurchgangskoeffizient des wärmeübertragenden unteren Gebäudeabschlusses (u_ug_mfl) in W/m²K für alle GEG-relevanten Nichtwohngebäude nach Gebäude-Hauptfunktion und grober Gebäude-Baualtersklasse (Breitenerhebung)</t>
  </si>
  <si>
    <t>U-Wert der unteren Gebäudeabschlusses</t>
  </si>
  <si>
    <t>u_ug</t>
  </si>
  <si>
    <t>Mittlerer flächengewichteter Wärmedurchgangskoeffizient U des unteren Gebäudeabschlusses</t>
  </si>
  <si>
    <t>Wärmeerzeuger-Aufwandszahl</t>
  </si>
  <si>
    <t>Mittlere Wärmeerzeuger-Aufwandszahl (indirekt berechnet aus Q_h_mean/Q_d_mean, größere NWGs mit mehr Bedarf gehen stärker ein, es entsteht eine Art gewichtetes Mittel)</t>
  </si>
  <si>
    <t>Mittlere Wärmeerzeuger-Aufwandszahl (indirekt berechnet aus Heizendenergiebedarf (Q_h_mean)/Nutzheizenergiebedarf (Q_d_mean), mit Imputation fehlender Werte)</t>
  </si>
  <si>
    <t>e_werz</t>
  </si>
  <si>
    <t>Wärmeerzeuger-Aufwandszahl, elektrisch</t>
  </si>
  <si>
    <t>Wärmeerzeuger-Aufwandszahl, fossil/FW</t>
  </si>
  <si>
    <t>e_werz_elt</t>
  </si>
  <si>
    <t>e_werz_fossil</t>
  </si>
  <si>
    <t>Mittlere Wärmeerzeuger-Aufwandszahl, elektrisch (indirekt berechnet aus elektrischem Heizendenergiebedarf (Q_h_mean)/Nutzheizenergiebedarf (Q_d_mean), mit Imputation fehlender Werte)</t>
  </si>
  <si>
    <t>Mittlere Wärmeerzeuger-Aufwandszahl, fossile Brennstoffe / Fernwärme (indirekt berechnet aus fossilem Heizendenergiebedarf (Q_h_mean)/Nutzheizenergiebedarf (Q_d_mean), mit Imputation fehlender Werte)</t>
  </si>
  <si>
    <t>Haftung &amp; Copyright</t>
  </si>
  <si>
    <t>Support</t>
  </si>
  <si>
    <t>Gefördert durch</t>
  </si>
  <si>
    <t>Mittlerer spezifischer Nutzheizenergiebedarf</t>
  </si>
  <si>
    <t>q_d_spez [kWh/m²EBFa]</t>
  </si>
  <si>
    <t>Mittlerer Q_d_spez in kWh/m²a</t>
  </si>
  <si>
    <t>Datenstand 06.04.2022</t>
  </si>
  <si>
    <t>q_d_spez</t>
  </si>
  <si>
    <t>Mittlerer spezifischer Nutzheizenergiebedarf (q_d_spez) in kWh/m²EBFa für alle GEG-relevanten Nichtwohngebäude nach Gebäude-Hauptfunktion und grober Gebäude-Baualtersklasse, berechnet mit DIBS (https://github.com/IWUGERMANY ), mit Imputation fehlender Werte</t>
  </si>
  <si>
    <t>spezifischer Nutzheizenergiebedarf</t>
  </si>
  <si>
    <t>zurück zum Überblick</t>
  </si>
  <si>
    <t>Mittlerer spezifischer Nutzheizenergiebedarf (nur fossil beheizte NWG)</t>
  </si>
  <si>
    <t>Mittlerer spezifischer Nutzheizenergiebedarf (nur elektrisch beheizt)</t>
  </si>
  <si>
    <t>Gesamt (elt)</t>
  </si>
  <si>
    <r>
      <t>[kWh/m²</t>
    </r>
    <r>
      <rPr>
        <vertAlign val="subscript"/>
        <sz val="11"/>
        <rFont val="Calibri"/>
        <family val="2"/>
        <scheme val="minor"/>
      </rPr>
      <t>EBF</t>
    </r>
    <r>
      <rPr>
        <sz val="11"/>
        <rFont val="Calibri"/>
        <family val="2"/>
        <scheme val="minor"/>
      </rPr>
      <t>a]</t>
    </r>
  </si>
  <si>
    <t>q_d_spez_fossil</t>
  </si>
  <si>
    <t>spezifischer Nutzheizenergiebedarf, fossil/FW</t>
  </si>
  <si>
    <t>q_d_spez_elt</t>
  </si>
  <si>
    <t>Die Entwicklung der Typologie wurde gefördert vom Bundesministerium für Wirtschaft und Energie (BMWi) im Rahmen des Projekts FlexGeber (Förderkennzeichen: 03EGB0001D) auf Grundlage der Forschungsdatenbank Nichtwohngebäude aus dem Projekt ENOB:dataNWG (Förderkennzeichen: 03ET1315).</t>
  </si>
  <si>
    <t>spezifischer Nutzheizenergiebedarf, elektrisch</t>
  </si>
  <si>
    <t>Eine Beschreibung der Methodik zur Erstellung der Typgebäude und der Berechnung ihrer Merkmale findet sich unter https://www.datanwg.de/downloads/tools/.</t>
  </si>
  <si>
    <t>Mittlerer spezifischer Nutzheizenergiebedarf (q_d_spez) in kWh/m²EBFa für GEG-relevanten Nichtwohngebäude, nur elektrisch beheizt, nach Gebäude-Hauptfunktion und grober Gebäude-Baualtersklasse, berechnet mit DIBS (https://github.com/IWUGERMANY ), mit Imputation fehlender Werte</t>
  </si>
  <si>
    <t>Mittlerer spezifischer Nutzheizenergiebedarf (q_d_spez) in kWh/m²EBFa für GEG-relevanten Nichtwohngebäude, nur fossil/FW beheizt, nach Gebäude-Hauptfunktion und grober Gebäude-Baualtersklasse, berechnet mit DIBS (https://github.com/IWUGERMANY ), mit Imputation fehlender Werte</t>
  </si>
  <si>
    <r>
      <t>Im Gegensatz zu Wohngebäuden ist der Bestand an Nichtwohngebäuden (NWG) in Deutschland in keiner amtlichen Statistik vollständig erfasst. Dies ist angesichts der wirtschaftlichen Bedeutung dieses Sektors überraschend und nicht nur die zunehmende Relevanz des Klimaschutzes lässt es sinnvoll und notwendig erscheinen, den Umfang und die Charakteristika dieses wichtigen Wirtschaftszweigs genauer zu erfassen.
Diese Lücke in der amtlichen Statistik konnte im Projekt ENOB:dataNWG (BMWi, Förderkennzeichen 03ET1315) durch eine Befragung auf Basis einer repräsentativen Stichprobe von Hausumringen und erwartungstreuen Hochrechnungen auf die Grundgesamtheit der Nichtwohngebäude geschlossen werden. Mit den digitalen Daten des Liegenschaftskatasters als Auswahlgrundlage wurde ein völlig neuer Ansatz in der statistischen Erfassung des deutschen Gebäudebestands erfolgreich genutzt. Ziel war es, erstmals statistisch valide Daten zum Bestand zur Verfügung zu stellen. Daraus ergab sich eine geschätzte Anzahl thermisch konditionierter NWG in Deutschland, die nach dem Gebäudeenergiegesetz (GEG) relevant sind, von N</t>
    </r>
    <r>
      <rPr>
        <vertAlign val="subscript"/>
        <sz val="8"/>
        <color rgb="FF000000"/>
        <rFont val="Arial"/>
        <family val="2"/>
      </rPr>
      <t>GEG</t>
    </r>
    <r>
      <rPr>
        <sz val="8"/>
        <color indexed="8"/>
        <rFont val="Arial"/>
        <family val="2"/>
      </rPr>
      <t xml:space="preserve"> = 1,981 ± 0,152 Millionen und eine geschätzte Bruttogeschossfläche von 3.507 ± 399 Mio. m², deutlich weniger an der Zahl, aber größer als bisherige Schätzungen annehmen. 
Eine NWG-Typologie wurde auf Grundlage der Erhebungsdaten im Projekt FlexGeber (BMWi, Förderkennzeichen 03EGB0001D) entwickelt, um die Komplexität der Gebäudebestandsdaten zu reduzieren und für Szenarien  handhabbar zu machen. Die große Vielfalt der NWG wurde auf 33 Gebäudetypen reduziert, die nach 11 Gebäudefunktionen und 3 Baualtersklassen unterschieden wurden. Auch eine Version mit nur 2 Gebäudefunktionen ist enthalten, was zu größeren Fallzahlen pro Klasse und damit geringeren Standardfehlern führt.
Das wichtigste Merkmal der Definition dieser Gebäudetypen ist das Konzept der "synthetischen mittleren Gebäude", deren Variablenausprägungen "Mittelwertschätzer" im Sinne der Schätztheorie sind. Sie umfasst U-Werte und Flächen der Hüllenbauteile, spezifische Nutzheizenergiebedarfe, Erzeugeraufwandszahlen der haustechnischen Anlagen sowie absolute Häufigkeiten und Energiebezugsflächen der Gebäudetypen. 
Aus Geodaten der Stichprobengebäude wurden die Flächen der Bauteile der Gebäudehüllen (z.B. Fassaden, Dächer und Bodenplatten) ermittelt und hochgerechnet. Die Befragungen lieferten die Monitoringdaten zum Ist-Zustand der Gebäude wie Fensterflächenanteile und Dachtypen sowie Dämmstärken und die aktuelle Ausstattung mit technischen Systemen. Aus diesen Monitoringvariablen wurden Modelleingangsvariablen für energetische Gebäudesimulationen (z.B. U-Werte von Bauteilen und Energieaufwandszahlen der Wärmeerzeuger) abgeleitet, die teilweise altersspezifische Eigenschaften von Gebäuden im ursprünglichen Zustand zum Zeitpunkt der Errichtung nutzen, ähnlich dem Projekt TABULA für Wohngebäude (Loga et al. 2012). 
Mit dem Dynamic ISO Building Simulator (DIBS) des IWU (https://github.com/IWUGERMANY) wurde auch der spezifische Nutzheizenergiebedarf der Gebäudetypen berechnet. Dabei wurde auch unterschieden nach Brennstoffart, fossil/FW und elektrisch. Mit den angegebenen Erzeugeraufwandszahlen kann in spezifische Endenergiebedarfe umgerechnet werden.
Die hier vorgestellte NWG-Typologie wurde entwickelt, um den Energiebedarf von Gebäudebeständen in der Nutzungsphase zu berechnen. Sie kann  für andere Szenarioanalysen erweitert werden. Darüber hinaus können anspruchsvollere Gebäudebestandsmodelle mit typologiebasierten Berechnungen in einer Tabellenkalkulation oder Plausibilitätsprüfungen validiert werden. 
Bisher wurde der aktuelle mittlere Zustand des Nichtwohngebäudebestandes in Deutschland zum Zeitpunkt der Datenerhebung in den Jahren 2018 und 2019 einer Typologie zugeordnet. Zukünftige Analysen sollen Maßnahmen zur energetischen Modernisierung und Berechnung des Energiebedarfs hinzufügen.
</t>
    </r>
  </si>
  <si>
    <t>Zitierung</t>
  </si>
  <si>
    <t>Blatt</t>
  </si>
  <si>
    <t>Inhalte</t>
  </si>
  <si>
    <t>Überschriften korrigiert</t>
  </si>
  <si>
    <t>Ein Support bei der Anwendung der Typologie durch das Institut Wohnen und Umwelt GmbH ist leider nicht möglich, wir bitten um Ihr Verständnis.
Für Fehlermeldungen, Verbesserungsvorschläge und Anregungen sind wir dennoch dankbar. Dazu wenden Sie sich bitte an:
Michael Hörner, m.hoerner@iwu.de</t>
  </si>
  <si>
    <t>Jede Verwendung dieser Daten erfordert einen Verweis auf das Institut Wohnen und Umwelt, zitiert als
Hörner, Michael; Bischof, Julian. Typologie der Nichtwohngebäude in Deutschland. IWU. Darmstadt, 2022</t>
  </si>
  <si>
    <t xml:space="preserve">Creative Commons Attribution 4.0 International Public License
Durch die Ausübung der lizenzierten Rechte (siehe unten) akzeptieren Sie die Bedingungen dieser Creative Commons Attribution 4.0 International Public License ("Public License"). </t>
  </si>
  <si>
    <t>https://github.com/IWUGERMANY/Nichtwohngebaeude-Typologie-Deutschland/blob/main/LICENSE</t>
  </si>
  <si>
    <t>DIE DATEN WERDEN "WIE GESEHEN" OHNE AUSDRÜCKLICHE ODER STILLSCHWEIGENDE ÜBERNAHME VON GEWÄHRLEISTUNG DURCH DIE AUTOREN ODER URHEBERRECHTSINHABER ZUR VERFÜGUNG GESTELLT, EINSCHLIESSLICH, ABER NICHT BESCHRÄNKT AUF DIE GEWÄHRLEISTUNG DER MARKTGÄNGIGKEIT, EIGNUNG FÜR EINEN BESTIMMTEN ZWECK UND NICHTVERLETZUNG VON RECHTEN DRITTER. IN KEINEM FALL HAFTEN DIE AUTOREN ODER URHEBERRECHTSINHABER FÜR ANSPRÜCHE, SCHÄDEN ODER ANDERES, SEI ES AUF GRUNDLAGE EINES VERTRAGS, UNERLAUBTER HANDLUNG ODER ANDERWEITIG, DIE SICH AUS ODER IM ZUSAMMENHANG MIT DEN DATEN;  DEREN NUTZUNG ODER SONSTIGEN GESCHÄFTEN MIT DEN DATEN ERGEBEN.</t>
  </si>
  <si>
    <t>Mittlerer flächengewichteter Wärmedurchgangskoeffizient der Außenwand</t>
  </si>
  <si>
    <t>1.3.7.2 Mittlerer flächengewichteter Wärmedurchgangskoeffizient der Außenwand (u_aw_mfl) in W/m²K für alle GEG-relevanten Nichtwohngebäude nach Gebäude-Hauptfunktion und grober Gebäude-Baualtersklasse (Breitenerhebung)</t>
  </si>
  <si>
    <t>u_geb</t>
  </si>
  <si>
    <t>Mittlerer flächengewichteter Wärmedurchgangskoeffizient U des Gebäudes</t>
  </si>
  <si>
    <t>1.3.31. Mittlerer flächengewichteter Wärmedurchgangskoeffizient des NWG (u_geb_mfl [W/m²K]) für alle GEG-relevanten Nichtwohngebäude nach Gebäude-Hauptfunktion und grober Gebäude-Baualtersklasse (Breitenerhebung)</t>
  </si>
  <si>
    <t>Mittlerer flächengewichteter Wärmedurchgangskoeffizient des NWG</t>
  </si>
  <si>
    <t>u_geb_mfl [W/m²K]</t>
  </si>
  <si>
    <t>Mittlere u_geb_mfl [W/m²K]</t>
  </si>
  <si>
    <t>abs. 
Standardfehler  in [W/m²K]</t>
  </si>
  <si>
    <t>Datenstand 04.10.2023</t>
  </si>
  <si>
    <t>U-Wert des Gebäudes</t>
  </si>
  <si>
    <t>eingefügt</t>
  </si>
  <si>
    <t>Version 2.2, Stand: 24.11.2023</t>
  </si>
  <si>
    <t>Änderungen gegenüber V2.1</t>
  </si>
  <si>
    <t>1.3.25 Mittlerer spezifischer Nutzheizenergiebedarf (q_d_spez) in kWh/m²EBFa für alle GEG-relevanten Nichtwohngebäude nach Gebäude-Hauptfunktion und grober Gebäude-Baualtersklasse (Breitenerhebung mit Imputation, DIBS v.1.0.1)</t>
  </si>
  <si>
    <t>1.3.25 Mittlerer spezifischer Nutzheizenergiebedarf (q_d_spez) in kWh/m²EBFa für alle GEG-relevanten Nichtwohngebäude nach Gebäude-Hauptfunktion und grober Gebäude-Baualtersklasse (Breitenerhebung + DIBS v.1.0.1 ohne Imputation)</t>
  </si>
  <si>
    <t>1.3.25.1 Mittlerer spezifischer Nutzheizenergiebedarf (q_d_spez) in kWh/m²EBFa für alle GEG-relevanten Nichtwohngebäude nach Gebäude-Hauptfunktion und grober Gebäude-Baualtersklasse (Breitenerhebung + DIBS v.1.0.1 mit Imputation)</t>
  </si>
  <si>
    <t>1.3.27.2 Mittlerer Wärmeerzeuger-Aufwandszahl nur fossil (e_Werz_fossil_mI) in [ - ] für alle GEG-relevanten Nichtwohngebäude nach Gebäude-Hauptfunktion und grober Gebäude-Baualtersklasse (Breitenerhebung + DIBS v1.0.1 mit Imputation)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</si>
</sst>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0.0%"/>
    <numFmt numFmtId="166" formatCode="#,##0.000"/>
    <numFmt numFmtId="167" formatCode="#,##0.000000"/>
    <numFmt numFmtId="168" formatCode="#,##0.0000"/>
  </numFmts>
  <fonts count="27"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name val="Calibri"/>
      <family val="2"/>
      <scheme val="minor"/>
    </font>
    <font>
      <i/>
      <sz val="11"/>
      <color theme="1"/>
      <name val="Calibri"/>
      <family val="2"/>
      <scheme val="minor"/>
    </font>
    <font>
      <sz val="11"/>
      <color theme="1"/>
      <name val="Calibri"/>
      <family val="2"/>
    </font>
    <font>
      <strike/>
      <sz val="11"/>
      <color rgb="FFFF0000"/>
      <name val="Calibri"/>
      <family val="2"/>
      <scheme val="minor"/>
    </font>
    <font>
      <sz val="9"/>
      <color theme="1"/>
      <name val="Arial"/>
      <family val="2"/>
    </font>
    <font>
      <u/>
      <sz val="11"/>
      <color theme="10"/>
      <name val="Calibri"/>
      <family val="2"/>
    </font>
    <font>
      <vertAlign val="superscript"/>
      <sz val="11"/>
      <color theme="1"/>
      <name val="Calibri"/>
      <family val="2"/>
      <scheme val="minor"/>
    </font>
    <font>
      <sz val="11"/>
      <color theme="1"/>
      <name val="Symbol"/>
      <family val="1"/>
      <charset val="2"/>
    </font>
    <font>
      <b/>
      <vertAlign val="subscript"/>
      <sz val="11"/>
      <color theme="1"/>
      <name val="Calibri"/>
      <family val="2"/>
      <scheme val="minor"/>
    </font>
    <font>
      <sz val="11"/>
      <color rgb="FF000000"/>
      <name val="Calibri"/>
      <family val="2"/>
    </font>
    <font>
      <sz val="9"/>
      <color theme="1"/>
      <name val="Calibri"/>
      <family val="2"/>
      <scheme val="minor"/>
    </font>
    <font>
      <sz val="10"/>
      <name val="Arial"/>
      <family val="2"/>
    </font>
    <font>
      <sz val="8"/>
      <color indexed="9"/>
      <name val="Arial"/>
      <family val="2"/>
    </font>
    <font>
      <sz val="8"/>
      <color rgb="FFFFFFFF"/>
      <name val="Arial"/>
      <family val="2"/>
    </font>
    <font>
      <sz val="8"/>
      <color indexed="8"/>
      <name val="Arial"/>
      <family val="2"/>
    </font>
    <font>
      <sz val="8"/>
      <color rgb="FF000000"/>
      <name val="Arial"/>
      <family val="2"/>
    </font>
    <font>
      <b/>
      <sz val="16"/>
      <color indexed="8"/>
      <name val="Arial"/>
      <family val="2"/>
    </font>
    <font>
      <b/>
      <u/>
      <sz val="11"/>
      <color theme="10"/>
      <name val="Calibri"/>
      <family val="2"/>
    </font>
    <font>
      <vertAlign val="subscript"/>
      <sz val="11"/>
      <name val="Calibri"/>
      <family val="2"/>
      <scheme val="minor"/>
    </font>
    <font>
      <vertAlign val="subscript"/>
      <sz val="8"/>
      <color rgb="FF000000"/>
      <name val="Arial"/>
      <family val="2"/>
    </font>
    <font>
      <sz val="8"/>
      <name val="Arial"/>
      <family val="2"/>
    </font>
    <font>
      <u/>
      <sz val="8"/>
      <color theme="10"/>
      <name val="Calibri"/>
      <family val="2"/>
    </font>
    <font>
      <sz val="8"/>
      <color theme="1"/>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theme="0"/>
        <bgColor indexed="64"/>
      </patternFill>
    </fill>
    <fill>
      <patternFill patternType="solid">
        <fgColor theme="4" tint="-0.24994659260841701"/>
        <bgColor indexed="64"/>
      </patternFill>
    </fill>
    <fill>
      <patternFill patternType="solid">
        <fgColor rgb="FF376091"/>
        <bgColor rgb="FF000000"/>
      </patternFill>
    </fill>
    <fill>
      <patternFill patternType="solid">
        <fgColor indexed="44"/>
        <bgColor indexed="64"/>
      </patternFill>
    </fill>
  </fills>
  <borders count="74">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right style="double">
        <color auto="1"/>
      </right>
      <top style="thin">
        <color auto="1"/>
      </top>
      <bottom style="thin">
        <color auto="1"/>
      </bottom>
      <diagonal/>
    </border>
    <border>
      <left style="double">
        <color auto="1"/>
      </left>
      <right/>
      <top style="thin">
        <color auto="1"/>
      </top>
      <bottom/>
      <diagonal/>
    </border>
    <border>
      <left style="double">
        <color auto="1"/>
      </left>
      <right style="thin">
        <color indexed="64"/>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top style="thin">
        <color auto="1"/>
      </top>
      <bottom style="hair">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double">
        <color auto="1"/>
      </bottom>
      <diagonal/>
    </border>
    <border>
      <left style="thin">
        <color auto="1"/>
      </left>
      <right/>
      <top style="double">
        <color auto="1"/>
      </top>
      <bottom style="thin">
        <color auto="1"/>
      </bottom>
      <diagonal/>
    </border>
    <border>
      <left style="thin">
        <color auto="1"/>
      </left>
      <right style="hair">
        <color auto="1"/>
      </right>
      <top style="double">
        <color auto="1"/>
      </top>
      <bottom style="thin">
        <color auto="1"/>
      </bottom>
      <diagonal/>
    </border>
    <border>
      <left style="hair">
        <color auto="1"/>
      </left>
      <right style="hair">
        <color auto="1"/>
      </right>
      <top style="double">
        <color auto="1"/>
      </top>
      <bottom style="thin">
        <color auto="1"/>
      </bottom>
      <diagonal/>
    </border>
    <border>
      <left style="hair">
        <color auto="1"/>
      </left>
      <right/>
      <top style="double">
        <color auto="1"/>
      </top>
      <bottom style="thin">
        <color auto="1"/>
      </bottom>
      <diagonal/>
    </border>
    <border>
      <left style="hair">
        <color auto="1"/>
      </left>
      <right style="thin">
        <color auto="1"/>
      </right>
      <top style="double">
        <color auto="1"/>
      </top>
      <bottom style="thin">
        <color auto="1"/>
      </bottom>
      <diagonal/>
    </border>
    <border>
      <left style="thin">
        <color auto="1"/>
      </left>
      <right style="thin">
        <color auto="1"/>
      </right>
      <top style="hair">
        <color auto="1"/>
      </top>
      <bottom style="thin">
        <color indexed="64"/>
      </bottom>
      <diagonal/>
    </border>
    <border>
      <left style="double">
        <color auto="1"/>
      </left>
      <right/>
      <top style="thin">
        <color auto="1"/>
      </top>
      <bottom style="thin">
        <color auto="1"/>
      </bottom>
      <diagonal/>
    </border>
    <border>
      <left style="thin">
        <color auto="1"/>
      </left>
      <right style="thin">
        <color auto="1"/>
      </right>
      <top/>
      <bottom/>
      <diagonal/>
    </border>
    <border>
      <left style="double">
        <color auto="1"/>
      </left>
      <right style="hair">
        <color auto="1"/>
      </right>
      <top style="thin">
        <color auto="1"/>
      </top>
      <bottom style="thin">
        <color auto="1"/>
      </bottom>
      <diagonal/>
    </border>
    <border>
      <left style="thin">
        <color auto="1"/>
      </left>
      <right/>
      <top/>
      <bottom style="hair">
        <color auto="1"/>
      </bottom>
      <diagonal/>
    </border>
    <border>
      <left style="thin">
        <color auto="1"/>
      </left>
      <right/>
      <top/>
      <bottom/>
      <diagonal/>
    </border>
    <border>
      <left style="thin">
        <color indexed="64"/>
      </left>
      <right style="thin">
        <color indexed="64"/>
      </right>
      <top style="thin">
        <color indexed="64"/>
      </top>
      <bottom style="thin">
        <color indexed="64"/>
      </bottom>
      <diagonal/>
    </border>
    <border>
      <left style="double">
        <color auto="1"/>
      </left>
      <right style="hair">
        <color auto="1"/>
      </right>
      <top style="double">
        <color auto="1"/>
      </top>
      <bottom style="thin">
        <color auto="1"/>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auto="1"/>
      </right>
      <top/>
      <bottom style="hair">
        <color auto="1"/>
      </bottom>
      <diagonal/>
    </border>
    <border>
      <left style="medium">
        <color indexed="64"/>
      </left>
      <right style="medium">
        <color indexed="64"/>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style="thin">
        <color auto="1"/>
      </top>
      <bottom/>
      <diagonal/>
    </border>
    <border>
      <left style="double">
        <color auto="1"/>
      </left>
      <right style="medium">
        <color indexed="64"/>
      </right>
      <top style="thin">
        <color auto="1"/>
      </top>
      <bottom style="thin">
        <color auto="1"/>
      </bottom>
      <diagonal/>
    </border>
    <border>
      <left style="medium">
        <color indexed="64"/>
      </left>
      <right style="medium">
        <color indexed="64"/>
      </right>
      <top style="thin">
        <color auto="1"/>
      </top>
      <bottom/>
      <diagonal/>
    </border>
    <border>
      <left style="medium">
        <color indexed="64"/>
      </left>
      <right style="hair">
        <color auto="1"/>
      </right>
      <top style="thin">
        <color auto="1"/>
      </top>
      <bottom style="thin">
        <color auto="1"/>
      </bottom>
      <diagonal/>
    </border>
    <border>
      <left style="hair">
        <color auto="1"/>
      </left>
      <right style="medium">
        <color indexed="64"/>
      </right>
      <top style="thin">
        <color auto="1"/>
      </top>
      <bottom style="thin">
        <color auto="1"/>
      </bottom>
      <diagonal/>
    </border>
    <border>
      <left style="medium">
        <color indexed="64"/>
      </left>
      <right style="medium">
        <color indexed="64"/>
      </right>
      <top style="thin">
        <color auto="1"/>
      </top>
      <bottom style="hair">
        <color auto="1"/>
      </bottom>
      <diagonal/>
    </border>
    <border>
      <left style="medium">
        <color indexed="64"/>
      </left>
      <right style="hair">
        <color auto="1"/>
      </right>
      <top style="thin">
        <color auto="1"/>
      </top>
      <bottom style="hair">
        <color auto="1"/>
      </bottom>
      <diagonal/>
    </border>
    <border>
      <left style="hair">
        <color auto="1"/>
      </left>
      <right style="medium">
        <color indexed="64"/>
      </right>
      <top style="thin">
        <color auto="1"/>
      </top>
      <bottom style="hair">
        <color auto="1"/>
      </bottom>
      <diagonal/>
    </border>
    <border>
      <left style="medium">
        <color indexed="64"/>
      </left>
      <right style="medium">
        <color indexed="64"/>
      </right>
      <top style="hair">
        <color auto="1"/>
      </top>
      <bottom style="hair">
        <color auto="1"/>
      </bottom>
      <diagonal/>
    </border>
    <border>
      <left style="medium">
        <color indexed="64"/>
      </left>
      <right style="hair">
        <color auto="1"/>
      </right>
      <top style="hair">
        <color auto="1"/>
      </top>
      <bottom style="hair">
        <color auto="1"/>
      </bottom>
      <diagonal/>
    </border>
    <border>
      <left style="hair">
        <color auto="1"/>
      </left>
      <right style="medium">
        <color indexed="64"/>
      </right>
      <top style="hair">
        <color auto="1"/>
      </top>
      <bottom style="hair">
        <color auto="1"/>
      </bottom>
      <diagonal/>
    </border>
    <border>
      <left style="hair">
        <color auto="1"/>
      </left>
      <right style="medium">
        <color indexed="64"/>
      </right>
      <top style="hair">
        <color auto="1"/>
      </top>
      <bottom style="double">
        <color auto="1"/>
      </bottom>
      <diagonal/>
    </border>
    <border>
      <left style="medium">
        <color indexed="64"/>
      </left>
      <right style="medium">
        <color indexed="64"/>
      </right>
      <top style="double">
        <color auto="1"/>
      </top>
      <bottom style="medium">
        <color indexed="64"/>
      </bottom>
      <diagonal/>
    </border>
    <border>
      <left style="medium">
        <color indexed="64"/>
      </left>
      <right style="hair">
        <color auto="1"/>
      </right>
      <top style="double">
        <color auto="1"/>
      </top>
      <bottom style="medium">
        <color indexed="64"/>
      </bottom>
      <diagonal/>
    </border>
    <border>
      <left style="hair">
        <color auto="1"/>
      </left>
      <right style="hair">
        <color auto="1"/>
      </right>
      <top style="double">
        <color auto="1"/>
      </top>
      <bottom style="medium">
        <color indexed="64"/>
      </bottom>
      <diagonal/>
    </border>
    <border>
      <left style="hair">
        <color auto="1"/>
      </left>
      <right/>
      <top style="double">
        <color auto="1"/>
      </top>
      <bottom style="medium">
        <color indexed="64"/>
      </bottom>
      <diagonal/>
    </border>
    <border>
      <left style="thin">
        <color auto="1"/>
      </left>
      <right style="hair">
        <color auto="1"/>
      </right>
      <top style="double">
        <color auto="1"/>
      </top>
      <bottom style="medium">
        <color indexed="64"/>
      </bottom>
      <diagonal/>
    </border>
    <border>
      <left style="hair">
        <color auto="1"/>
      </left>
      <right style="medium">
        <color indexed="64"/>
      </right>
      <top style="double">
        <color auto="1"/>
      </top>
      <bottom style="medium">
        <color indexed="64"/>
      </bottom>
      <diagonal/>
    </border>
    <border>
      <left style="medium">
        <color indexed="64"/>
      </left>
      <right style="medium">
        <color indexed="64"/>
      </right>
      <top style="medium">
        <color indexed="64"/>
      </top>
      <bottom/>
      <diagonal/>
    </border>
    <border>
      <left style="medium">
        <color indexed="64"/>
      </left>
      <right style="hair">
        <color auto="1"/>
      </right>
      <top style="medium">
        <color indexed="64"/>
      </top>
      <bottom style="thin">
        <color auto="1"/>
      </bottom>
      <diagonal/>
    </border>
    <border>
      <left style="hair">
        <color auto="1"/>
      </left>
      <right style="hair">
        <color auto="1"/>
      </right>
      <top style="medium">
        <color indexed="64"/>
      </top>
      <bottom style="thin">
        <color auto="1"/>
      </bottom>
      <diagonal/>
    </border>
    <border>
      <left style="hair">
        <color auto="1"/>
      </left>
      <right style="thin">
        <color auto="1"/>
      </right>
      <top style="medium">
        <color indexed="64"/>
      </top>
      <bottom style="thin">
        <color auto="1"/>
      </bottom>
      <diagonal/>
    </border>
    <border>
      <left style="thin">
        <color auto="1"/>
      </left>
      <right style="hair">
        <color auto="1"/>
      </right>
      <top style="medium">
        <color indexed="64"/>
      </top>
      <bottom style="thin">
        <color auto="1"/>
      </bottom>
      <diagonal/>
    </border>
    <border>
      <left style="hair">
        <color auto="1"/>
      </left>
      <right style="medium">
        <color indexed="64"/>
      </right>
      <top style="medium">
        <color indexed="64"/>
      </top>
      <bottom style="thin">
        <color auto="1"/>
      </bottom>
      <diagonal/>
    </border>
    <border>
      <left style="medium">
        <color indexed="64"/>
      </left>
      <right style="medium">
        <color indexed="64"/>
      </right>
      <top style="hair">
        <color auto="1"/>
      </top>
      <bottom style="thin">
        <color indexed="64"/>
      </bottom>
      <diagonal/>
    </border>
    <border>
      <left style="hair">
        <color auto="1"/>
      </left>
      <right style="thin">
        <color auto="1"/>
      </right>
      <top style="double">
        <color auto="1"/>
      </top>
      <bottom style="medium">
        <color indexed="64"/>
      </bottom>
      <diagonal/>
    </border>
    <border>
      <left style="thin">
        <color indexed="64"/>
      </left>
      <right/>
      <top style="thin">
        <color indexed="64"/>
      </top>
      <bottom/>
      <diagonal/>
    </border>
    <border>
      <left/>
      <right/>
      <top/>
      <bottom style="thin">
        <color rgb="FFD8D8D8"/>
      </bottom>
      <diagonal/>
    </border>
  </borders>
  <cellStyleXfs count="7">
    <xf numFmtId="0" fontId="0" fillId="0" borderId="0"/>
    <xf numFmtId="9" fontId="1" fillId="0" borderId="0" applyFont="0" applyFill="0" applyBorder="0" applyAlignment="0" applyProtection="0"/>
    <xf numFmtId="0" fontId="9" fillId="0" borderId="0" applyNumberFormat="0" applyFill="0" applyBorder="0" applyAlignment="0" applyProtection="0">
      <alignment vertical="top"/>
      <protection locked="0"/>
    </xf>
    <xf numFmtId="164" fontId="1" fillId="0" borderId="0" applyFont="0" applyFill="0" applyBorder="0" applyAlignment="0" applyProtection="0"/>
    <xf numFmtId="0" fontId="15" fillId="0" borderId="0"/>
    <xf numFmtId="0" fontId="16" fillId="6" borderId="0" applyBorder="0" applyAlignment="0">
      <alignment vertical="center"/>
    </xf>
    <xf numFmtId="0" fontId="18" fillId="8" borderId="72" applyBorder="0" applyAlignment="0">
      <alignment horizontal="left"/>
    </xf>
  </cellStyleXfs>
  <cellXfs count="177">
    <xf numFmtId="0" fontId="0" fillId="0" borderId="0" xfId="0"/>
    <xf numFmtId="0" fontId="3" fillId="2" borderId="1" xfId="0" applyFont="1" applyFill="1" applyBorder="1" applyAlignment="1">
      <alignment vertical="center"/>
    </xf>
    <xf numFmtId="0" fontId="0" fillId="2" borderId="2" xfId="0" applyFill="1" applyBorder="1" applyAlignment="1">
      <alignment vertical="center"/>
    </xf>
    <xf numFmtId="0" fontId="0" fillId="2" borderId="3" xfId="0" applyFill="1" applyBorder="1" applyAlignment="1">
      <alignment vertical="center"/>
    </xf>
    <xf numFmtId="0" fontId="0" fillId="0" borderId="0" xfId="0" applyAlignment="1">
      <alignment vertical="center"/>
    </xf>
    <xf numFmtId="0" fontId="3" fillId="3" borderId="4" xfId="0" applyFont="1" applyFill="1" applyBorder="1" applyAlignment="1">
      <alignment vertical="center"/>
    </xf>
    <xf numFmtId="0" fontId="3" fillId="3" borderId="1" xfId="0" applyFont="1" applyFill="1" applyBorder="1" applyAlignment="1">
      <alignment horizontal="centerContinuous" vertical="center"/>
    </xf>
    <xf numFmtId="0" fontId="3" fillId="3" borderId="2" xfId="0" applyFont="1" applyFill="1" applyBorder="1" applyAlignment="1">
      <alignment horizontal="centerContinuous" vertical="center"/>
    </xf>
    <xf numFmtId="0" fontId="3" fillId="3" borderId="5" xfId="0" applyFont="1" applyFill="1" applyBorder="1" applyAlignment="1">
      <alignment horizontal="centerContinuous" vertical="center"/>
    </xf>
    <xf numFmtId="0" fontId="0" fillId="0" borderId="2" xfId="0" applyBorder="1" applyAlignment="1">
      <alignment vertical="center"/>
    </xf>
    <xf numFmtId="0" fontId="0" fillId="0" borderId="3" xfId="0" applyBorder="1" applyAlignment="1">
      <alignment vertical="center"/>
    </xf>
    <xf numFmtId="0" fontId="0" fillId="3" borderId="1" xfId="0" applyFill="1" applyBorder="1" applyAlignment="1">
      <alignment horizontal="centerContinuous" vertical="center" wrapText="1"/>
    </xf>
    <xf numFmtId="0" fontId="0" fillId="3" borderId="2" xfId="0" applyFill="1" applyBorder="1" applyAlignment="1">
      <alignment horizontal="centerContinuous" vertical="center" wrapText="1"/>
    </xf>
    <xf numFmtId="0" fontId="0" fillId="3" borderId="3" xfId="0" applyFill="1" applyBorder="1" applyAlignment="1">
      <alignment horizontal="centerContinuous" vertical="center" wrapText="1"/>
    </xf>
    <xf numFmtId="0" fontId="0" fillId="3" borderId="5" xfId="0" applyFill="1" applyBorder="1" applyAlignment="1">
      <alignment horizontal="centerContinuous" vertical="center" wrapText="1"/>
    </xf>
    <xf numFmtId="0" fontId="3" fillId="3" borderId="6" xfId="0" applyFont="1" applyFill="1" applyBorder="1" applyAlignment="1">
      <alignment horizontal="centerContinuous" vertical="center" wrapText="1"/>
    </xf>
    <xf numFmtId="0" fontId="3" fillId="3" borderId="7" xfId="0" applyFont="1" applyFill="1" applyBorder="1" applyAlignment="1">
      <alignment horizontal="centerContinuous" vertical="center" wrapText="1"/>
    </xf>
    <xf numFmtId="0" fontId="0" fillId="3" borderId="8" xfId="0" applyFill="1" applyBorder="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11" xfId="0" applyFill="1" applyBorder="1" applyAlignment="1">
      <alignment horizontal="center" vertical="center" wrapText="1"/>
    </xf>
    <xf numFmtId="0" fontId="0" fillId="0" borderId="12" xfId="0" applyBorder="1" applyAlignment="1">
      <alignment horizontal="left" vertical="top" wrapText="1" indent="1"/>
    </xf>
    <xf numFmtId="4" fontId="0" fillId="0" borderId="13" xfId="0" applyNumberFormat="1" applyBorder="1" applyAlignment="1">
      <alignment vertical="center"/>
    </xf>
    <xf numFmtId="4" fontId="0" fillId="0" borderId="14" xfId="0" applyNumberFormat="1" applyBorder="1" applyAlignment="1">
      <alignment vertical="center"/>
    </xf>
    <xf numFmtId="165" fontId="0" fillId="0" borderId="15" xfId="1" applyNumberFormat="1" applyFont="1" applyFill="1" applyBorder="1" applyAlignment="1">
      <alignment vertical="center"/>
    </xf>
    <xf numFmtId="3" fontId="0" fillId="0" borderId="16" xfId="0" applyNumberFormat="1" applyBorder="1" applyAlignment="1">
      <alignment vertical="center"/>
    </xf>
    <xf numFmtId="3" fontId="0" fillId="0" borderId="0" xfId="0" applyNumberFormat="1" applyAlignment="1">
      <alignment vertical="center"/>
    </xf>
    <xf numFmtId="0" fontId="0" fillId="0" borderId="17" xfId="0" applyBorder="1" applyAlignment="1">
      <alignment horizontal="left" vertical="top" wrapText="1" indent="1"/>
    </xf>
    <xf numFmtId="4" fontId="0" fillId="0" borderId="18" xfId="0" applyNumberFormat="1" applyBorder="1" applyAlignment="1">
      <alignment vertical="center"/>
    </xf>
    <xf numFmtId="4" fontId="0" fillId="0" borderId="19" xfId="0" applyNumberFormat="1" applyBorder="1" applyAlignment="1">
      <alignment vertical="center"/>
    </xf>
    <xf numFmtId="165" fontId="0" fillId="0" borderId="20" xfId="1" applyNumberFormat="1" applyFont="1" applyFill="1" applyBorder="1" applyAlignment="1">
      <alignment vertical="center"/>
    </xf>
    <xf numFmtId="3" fontId="0" fillId="0" borderId="21" xfId="0" applyNumberFormat="1" applyBorder="1" applyAlignment="1">
      <alignment vertical="center"/>
    </xf>
    <xf numFmtId="4" fontId="4" fillId="0" borderId="18" xfId="0" applyNumberFormat="1" applyFont="1" applyBorder="1" applyAlignment="1">
      <alignment vertical="center"/>
    </xf>
    <xf numFmtId="4" fontId="4" fillId="0" borderId="19" xfId="0" applyNumberFormat="1" applyFont="1" applyBorder="1" applyAlignment="1">
      <alignment vertical="center"/>
    </xf>
    <xf numFmtId="4" fontId="4" fillId="0" borderId="22" xfId="0" applyNumberFormat="1" applyFont="1" applyBorder="1" applyAlignment="1">
      <alignment vertical="center"/>
    </xf>
    <xf numFmtId="0" fontId="3" fillId="0" borderId="23" xfId="0" applyFont="1" applyBorder="1" applyAlignment="1">
      <alignment vertical="center"/>
    </xf>
    <xf numFmtId="4" fontId="3" fillId="0" borderId="24" xfId="0" applyNumberFormat="1" applyFont="1" applyBorder="1" applyAlignment="1">
      <alignment vertical="center"/>
    </xf>
    <xf numFmtId="4" fontId="3" fillId="0" borderId="25" xfId="0" applyNumberFormat="1" applyFont="1" applyBorder="1" applyAlignment="1">
      <alignment vertical="center"/>
    </xf>
    <xf numFmtId="165" fontId="3" fillId="0" borderId="26" xfId="1" applyNumberFormat="1" applyFont="1" applyFill="1" applyBorder="1" applyAlignment="1">
      <alignment vertical="center"/>
    </xf>
    <xf numFmtId="3" fontId="3" fillId="0" borderId="27" xfId="0" applyNumberFormat="1" applyFont="1" applyBorder="1" applyAlignment="1">
      <alignment vertical="center"/>
    </xf>
    <xf numFmtId="0" fontId="3" fillId="0" borderId="0" xfId="0" applyFont="1" applyAlignment="1">
      <alignment vertical="center"/>
    </xf>
    <xf numFmtId="3" fontId="5" fillId="0" borderId="0" xfId="0" applyNumberFormat="1" applyFont="1" applyAlignment="1">
      <alignment vertical="center"/>
    </xf>
    <xf numFmtId="0" fontId="0" fillId="0" borderId="12" xfId="0" applyBorder="1" applyAlignment="1">
      <alignment horizontal="left" vertical="center" wrapText="1" indent="1"/>
    </xf>
    <xf numFmtId="0" fontId="0" fillId="0" borderId="28" xfId="0" applyBorder="1" applyAlignment="1">
      <alignment horizontal="left" vertical="center" wrapText="1" indent="1"/>
    </xf>
    <xf numFmtId="0" fontId="0" fillId="0" borderId="0" xfId="0" applyAlignment="1">
      <alignment horizontal="center" vertical="center"/>
    </xf>
    <xf numFmtId="0" fontId="2" fillId="0" borderId="0" xfId="0" applyFont="1" applyAlignment="1">
      <alignment horizontal="center" vertical="center"/>
    </xf>
    <xf numFmtId="0" fontId="3" fillId="0" borderId="30" xfId="0" applyFont="1" applyBorder="1" applyAlignment="1">
      <alignment vertical="center"/>
    </xf>
    <xf numFmtId="0" fontId="8" fillId="0" borderId="0" xfId="0" applyFont="1" applyAlignment="1">
      <alignment horizontal="left" vertical="top" wrapText="1" indent="1"/>
    </xf>
    <xf numFmtId="0" fontId="9" fillId="0" borderId="0" xfId="2" applyAlignment="1" applyProtection="1">
      <alignment horizontal="left" vertical="top" wrapText="1" indent="1"/>
    </xf>
    <xf numFmtId="0" fontId="0" fillId="3" borderId="31" xfId="0" applyFill="1" applyBorder="1" applyAlignment="1">
      <alignment horizontal="center" vertical="center" wrapText="1"/>
    </xf>
    <xf numFmtId="0" fontId="0" fillId="0" borderId="32" xfId="0" applyBorder="1" applyAlignment="1">
      <alignment horizontal="left" vertical="top" wrapText="1" indent="1"/>
    </xf>
    <xf numFmtId="0" fontId="0" fillId="0" borderId="33" xfId="0" applyBorder="1" applyAlignment="1">
      <alignment horizontal="left" vertical="top" wrapText="1" indent="1"/>
    </xf>
    <xf numFmtId="0" fontId="3" fillId="4" borderId="34" xfId="0" applyFont="1" applyFill="1" applyBorder="1" applyAlignment="1">
      <alignment vertical="center"/>
    </xf>
    <xf numFmtId="3" fontId="0" fillId="0" borderId="13" xfId="0" applyNumberFormat="1" applyBorder="1" applyAlignment="1">
      <alignment vertical="center"/>
    </xf>
    <xf numFmtId="3" fontId="0" fillId="0" borderId="14" xfId="0" applyNumberFormat="1" applyBorder="1" applyAlignment="1">
      <alignment vertical="center"/>
    </xf>
    <xf numFmtId="3" fontId="0" fillId="0" borderId="18" xfId="0" applyNumberFormat="1" applyBorder="1" applyAlignment="1">
      <alignment vertical="center"/>
    </xf>
    <xf numFmtId="3" fontId="0" fillId="0" borderId="19" xfId="0" applyNumberFormat="1" applyBorder="1" applyAlignment="1">
      <alignment vertical="center"/>
    </xf>
    <xf numFmtId="3" fontId="4" fillId="0" borderId="18" xfId="0" applyNumberFormat="1" applyFont="1" applyBorder="1" applyAlignment="1">
      <alignment vertical="center"/>
    </xf>
    <xf numFmtId="3" fontId="4" fillId="0" borderId="19" xfId="0" applyNumberFormat="1" applyFont="1" applyBorder="1" applyAlignment="1">
      <alignment vertical="center"/>
    </xf>
    <xf numFmtId="3" fontId="4" fillId="0" borderId="22" xfId="0" applyNumberFormat="1" applyFont="1" applyBorder="1" applyAlignment="1">
      <alignment vertical="center"/>
    </xf>
    <xf numFmtId="3" fontId="3" fillId="0" borderId="24" xfId="0" applyNumberFormat="1" applyFont="1" applyBorder="1" applyAlignment="1">
      <alignment vertical="center"/>
    </xf>
    <xf numFmtId="3" fontId="3" fillId="0" borderId="25" xfId="0" applyNumberFormat="1" applyFont="1" applyBorder="1" applyAlignment="1">
      <alignment vertical="center"/>
    </xf>
    <xf numFmtId="3" fontId="3" fillId="0" borderId="35" xfId="0" applyNumberFormat="1" applyFont="1" applyBorder="1" applyAlignment="1">
      <alignment vertical="center"/>
    </xf>
    <xf numFmtId="4" fontId="3" fillId="0" borderId="0" xfId="0" applyNumberFormat="1" applyFont="1" applyAlignment="1">
      <alignment vertical="center"/>
    </xf>
    <xf numFmtId="3" fontId="3" fillId="0" borderId="0" xfId="0" applyNumberFormat="1" applyFont="1" applyAlignment="1">
      <alignment vertical="center"/>
    </xf>
    <xf numFmtId="165" fontId="3" fillId="0" borderId="0" xfId="1" applyNumberFormat="1" applyFont="1" applyFill="1" applyBorder="1" applyAlignment="1">
      <alignment vertical="center"/>
    </xf>
    <xf numFmtId="166" fontId="3" fillId="0" borderId="0" xfId="0" applyNumberFormat="1" applyFont="1" applyAlignment="1">
      <alignment vertical="center"/>
    </xf>
    <xf numFmtId="0" fontId="4" fillId="0" borderId="34" xfId="0" applyFont="1" applyBorder="1" applyAlignment="1">
      <alignment wrapText="1"/>
    </xf>
    <xf numFmtId="0" fontId="0" fillId="0" borderId="0" xfId="0" applyAlignment="1">
      <alignment vertical="top"/>
    </xf>
    <xf numFmtId="0" fontId="0" fillId="0" borderId="0" xfId="0" applyAlignment="1">
      <alignment vertical="top" wrapText="1"/>
    </xf>
    <xf numFmtId="0" fontId="4" fillId="0" borderId="34" xfId="0" applyFont="1" applyBorder="1" applyAlignment="1">
      <alignment vertical="top"/>
    </xf>
    <xf numFmtId="0" fontId="3" fillId="0" borderId="0" xfId="0" applyFont="1" applyAlignment="1">
      <alignment vertical="top"/>
    </xf>
    <xf numFmtId="0" fontId="4" fillId="0" borderId="36" xfId="0" applyFont="1" applyBorder="1" applyAlignment="1">
      <alignment vertical="top" wrapText="1"/>
    </xf>
    <xf numFmtId="0" fontId="3" fillId="0" borderId="34" xfId="0" applyFont="1" applyBorder="1" applyAlignment="1">
      <alignment vertical="top"/>
    </xf>
    <xf numFmtId="0" fontId="3" fillId="0" borderId="34" xfId="0" applyFont="1" applyBorder="1" applyAlignment="1">
      <alignment vertical="top" wrapText="1"/>
    </xf>
    <xf numFmtId="0" fontId="4" fillId="0" borderId="37" xfId="0" applyFont="1" applyBorder="1" applyAlignment="1">
      <alignment vertical="top"/>
    </xf>
    <xf numFmtId="0" fontId="4" fillId="0" borderId="3" xfId="0" applyFont="1" applyBorder="1" applyAlignment="1">
      <alignment vertical="top"/>
    </xf>
    <xf numFmtId="0" fontId="3" fillId="0" borderId="4" xfId="0" applyFont="1" applyBorder="1" applyAlignment="1">
      <alignment vertical="top"/>
    </xf>
    <xf numFmtId="0" fontId="0" fillId="0" borderId="34" xfId="0" applyBorder="1" applyAlignment="1">
      <alignment vertical="top"/>
    </xf>
    <xf numFmtId="0" fontId="9" fillId="0" borderId="34" xfId="2" applyBorder="1" applyAlignment="1" applyProtection="1">
      <alignment vertical="top"/>
    </xf>
    <xf numFmtId="0" fontId="0" fillId="0" borderId="34" xfId="0" applyBorder="1" applyAlignment="1">
      <alignment vertical="top" wrapText="1"/>
    </xf>
    <xf numFmtId="0" fontId="3" fillId="0" borderId="34" xfId="0" applyFont="1" applyBorder="1" applyAlignment="1">
      <alignment horizontal="center" vertical="top"/>
    </xf>
    <xf numFmtId="0" fontId="4" fillId="0" borderId="37" xfId="0" applyFont="1" applyBorder="1" applyAlignment="1">
      <alignment horizontal="center" vertical="top"/>
    </xf>
    <xf numFmtId="0" fontId="4" fillId="0" borderId="3" xfId="0" applyFont="1" applyBorder="1" applyAlignment="1">
      <alignment horizontal="center" vertical="top"/>
    </xf>
    <xf numFmtId="0" fontId="0" fillId="0" borderId="0" xfId="0" applyAlignment="1">
      <alignment horizontal="center" vertical="top"/>
    </xf>
    <xf numFmtId="0" fontId="13" fillId="0" borderId="38" xfId="0" applyFont="1" applyBorder="1" applyAlignment="1">
      <alignment wrapText="1"/>
    </xf>
    <xf numFmtId="0" fontId="3" fillId="4" borderId="34" xfId="0" applyFont="1" applyFill="1" applyBorder="1" applyAlignment="1">
      <alignment vertical="center" wrapText="1"/>
    </xf>
    <xf numFmtId="0" fontId="14" fillId="3" borderId="8" xfId="0" applyFont="1" applyFill="1" applyBorder="1" applyAlignment="1">
      <alignment horizontal="center" vertical="center" wrapText="1"/>
    </xf>
    <xf numFmtId="0" fontId="14" fillId="3" borderId="9" xfId="0" applyFont="1" applyFill="1" applyBorder="1" applyAlignment="1">
      <alignment horizontal="center" vertical="center" wrapText="1"/>
    </xf>
    <xf numFmtId="0" fontId="14" fillId="3" borderId="10" xfId="0" applyFont="1" applyFill="1" applyBorder="1" applyAlignment="1">
      <alignment horizontal="center" vertical="center" wrapText="1"/>
    </xf>
    <xf numFmtId="0" fontId="3" fillId="3" borderId="34" xfId="0" applyFont="1" applyFill="1" applyBorder="1" applyAlignment="1">
      <alignment vertical="center"/>
    </xf>
    <xf numFmtId="0" fontId="14" fillId="3" borderId="11" xfId="0" applyFont="1" applyFill="1" applyBorder="1" applyAlignment="1">
      <alignment horizontal="center" vertical="center" wrapText="1"/>
    </xf>
    <xf numFmtId="4" fontId="3" fillId="0" borderId="35" xfId="0" applyNumberFormat="1" applyFont="1" applyBorder="1" applyAlignment="1">
      <alignment vertical="center"/>
    </xf>
    <xf numFmtId="0" fontId="3" fillId="2" borderId="33" xfId="0" applyFont="1" applyFill="1" applyBorder="1" applyAlignment="1">
      <alignment vertical="center"/>
    </xf>
    <xf numFmtId="0" fontId="3" fillId="2" borderId="0" xfId="0" applyFont="1" applyFill="1" applyAlignment="1">
      <alignment vertical="center"/>
    </xf>
    <xf numFmtId="0" fontId="3" fillId="4" borderId="39" xfId="0" applyFont="1" applyFill="1" applyBorder="1" applyAlignment="1">
      <alignment vertical="center"/>
    </xf>
    <xf numFmtId="0" fontId="3" fillId="3" borderId="40" xfId="0" applyFont="1" applyFill="1" applyBorder="1" applyAlignment="1">
      <alignment vertical="center"/>
    </xf>
    <xf numFmtId="0" fontId="3" fillId="3" borderId="41" xfId="0" applyFont="1" applyFill="1" applyBorder="1" applyAlignment="1">
      <alignment vertical="center"/>
    </xf>
    <xf numFmtId="0" fontId="3" fillId="3" borderId="42" xfId="0" applyFont="1" applyFill="1" applyBorder="1" applyAlignment="1">
      <alignment vertical="center"/>
    </xf>
    <xf numFmtId="0" fontId="3" fillId="4" borderId="43" xfId="0" applyFont="1" applyFill="1" applyBorder="1" applyAlignment="1">
      <alignment vertical="center"/>
    </xf>
    <xf numFmtId="0" fontId="0" fillId="3" borderId="44" xfId="0" applyFill="1" applyBorder="1" applyAlignment="1">
      <alignment horizontal="centerContinuous" vertical="center" wrapText="1"/>
    </xf>
    <xf numFmtId="0" fontId="0" fillId="3" borderId="45" xfId="0" applyFill="1" applyBorder="1" applyAlignment="1">
      <alignment horizontal="centerContinuous" vertical="center" wrapText="1"/>
    </xf>
    <xf numFmtId="0" fontId="3" fillId="3" borderId="46" xfId="0" applyFont="1" applyFill="1" applyBorder="1" applyAlignment="1">
      <alignment horizontal="centerContinuous" vertical="center" wrapText="1"/>
    </xf>
    <xf numFmtId="0" fontId="3" fillId="3" borderId="47" xfId="0" applyFont="1" applyFill="1" applyBorder="1" applyAlignment="1">
      <alignment horizontal="centerContinuous" vertical="center" wrapText="1"/>
    </xf>
    <xf numFmtId="0" fontId="3" fillId="3" borderId="48" xfId="0" applyFont="1" applyFill="1" applyBorder="1" applyAlignment="1">
      <alignment vertical="center"/>
    </xf>
    <xf numFmtId="0" fontId="0" fillId="3" borderId="49" xfId="0" applyFill="1" applyBorder="1" applyAlignment="1">
      <alignment horizontal="center" vertical="center" wrapText="1"/>
    </xf>
    <xf numFmtId="0" fontId="0" fillId="3" borderId="50" xfId="0" applyFill="1" applyBorder="1" applyAlignment="1">
      <alignment horizontal="center" vertical="center" wrapText="1"/>
    </xf>
    <xf numFmtId="0" fontId="0" fillId="0" borderId="51" xfId="0" applyBorder="1" applyAlignment="1">
      <alignment horizontal="left" vertical="top" wrapText="1" indent="1"/>
    </xf>
    <xf numFmtId="3" fontId="0" fillId="0" borderId="52" xfId="0" applyNumberFormat="1" applyBorder="1" applyAlignment="1">
      <alignment vertical="center"/>
    </xf>
    <xf numFmtId="3" fontId="0" fillId="0" borderId="53" xfId="0" applyNumberFormat="1" applyBorder="1" applyAlignment="1">
      <alignment vertical="center"/>
    </xf>
    <xf numFmtId="0" fontId="0" fillId="0" borderId="54" xfId="0" applyBorder="1" applyAlignment="1">
      <alignment horizontal="left" vertical="top" wrapText="1" indent="1"/>
    </xf>
    <xf numFmtId="3" fontId="0" fillId="0" borderId="55" xfId="0" applyNumberFormat="1" applyBorder="1" applyAlignment="1">
      <alignment vertical="center"/>
    </xf>
    <xf numFmtId="3" fontId="0" fillId="0" borderId="56" xfId="0" applyNumberFormat="1" applyBorder="1" applyAlignment="1">
      <alignment vertical="center"/>
    </xf>
    <xf numFmtId="3" fontId="4" fillId="0" borderId="55" xfId="3" applyNumberFormat="1" applyFont="1" applyFill="1" applyBorder="1" applyAlignment="1">
      <alignment vertical="center"/>
    </xf>
    <xf numFmtId="3" fontId="4" fillId="0" borderId="18" xfId="3" applyNumberFormat="1" applyFont="1" applyFill="1" applyBorder="1" applyAlignment="1">
      <alignment vertical="center"/>
    </xf>
    <xf numFmtId="3" fontId="4" fillId="0" borderId="56" xfId="0" applyNumberFormat="1" applyFont="1" applyBorder="1" applyAlignment="1">
      <alignment vertical="center"/>
    </xf>
    <xf numFmtId="3" fontId="4" fillId="0" borderId="55" xfId="0" applyNumberFormat="1" applyFont="1" applyBorder="1" applyAlignment="1">
      <alignment vertical="center"/>
    </xf>
    <xf numFmtId="3" fontId="4" fillId="0" borderId="57" xfId="0" applyNumberFormat="1" applyFont="1" applyBorder="1" applyAlignment="1">
      <alignment vertical="center"/>
    </xf>
    <xf numFmtId="0" fontId="3" fillId="0" borderId="58" xfId="0" applyFont="1" applyBorder="1" applyAlignment="1">
      <alignment vertical="center"/>
    </xf>
    <xf numFmtId="3" fontId="3" fillId="0" borderId="59" xfId="0" applyNumberFormat="1" applyFont="1" applyBorder="1" applyAlignment="1">
      <alignment vertical="center"/>
    </xf>
    <xf numFmtId="3" fontId="3" fillId="0" borderId="60" xfId="0" applyNumberFormat="1" applyFont="1" applyBorder="1" applyAlignment="1">
      <alignment vertical="center"/>
    </xf>
    <xf numFmtId="165" fontId="3" fillId="0" borderId="61" xfId="1" applyNumberFormat="1" applyFont="1" applyFill="1" applyBorder="1" applyAlignment="1">
      <alignment vertical="center"/>
    </xf>
    <xf numFmtId="3" fontId="3" fillId="0" borderId="62" xfId="0" applyNumberFormat="1" applyFont="1" applyBorder="1" applyAlignment="1">
      <alignment vertical="center"/>
    </xf>
    <xf numFmtId="3" fontId="3" fillId="0" borderId="63" xfId="0" applyNumberFormat="1" applyFont="1" applyBorder="1" applyAlignment="1">
      <alignment vertical="center"/>
    </xf>
    <xf numFmtId="0" fontId="3" fillId="3" borderId="64" xfId="0" applyFont="1" applyFill="1" applyBorder="1" applyAlignment="1">
      <alignment vertical="center"/>
    </xf>
    <xf numFmtId="0" fontId="0" fillId="3" borderId="65" xfId="0" applyFill="1" applyBorder="1" applyAlignment="1">
      <alignment horizontal="center" vertical="center" wrapText="1"/>
    </xf>
    <xf numFmtId="0" fontId="0" fillId="3" borderId="66" xfId="0" applyFill="1" applyBorder="1" applyAlignment="1">
      <alignment horizontal="center" vertical="center" wrapText="1"/>
    </xf>
    <xf numFmtId="0" fontId="0" fillId="3" borderId="67" xfId="0" applyFill="1" applyBorder="1" applyAlignment="1">
      <alignment horizontal="center" vertical="center" wrapText="1"/>
    </xf>
    <xf numFmtId="0" fontId="0" fillId="3" borderId="68" xfId="0" applyFill="1" applyBorder="1" applyAlignment="1">
      <alignment horizontal="center" vertical="center" wrapText="1"/>
    </xf>
    <xf numFmtId="0" fontId="0" fillId="3" borderId="69" xfId="0" applyFill="1" applyBorder="1" applyAlignment="1">
      <alignment horizontal="center" vertical="center" wrapText="1"/>
    </xf>
    <xf numFmtId="0" fontId="0" fillId="0" borderId="51" xfId="0" applyBorder="1" applyAlignment="1">
      <alignment horizontal="left" vertical="center" wrapText="1" indent="1"/>
    </xf>
    <xf numFmtId="0" fontId="0" fillId="0" borderId="70" xfId="0" applyBorder="1" applyAlignment="1">
      <alignment horizontal="left" vertical="center" wrapText="1" indent="1"/>
    </xf>
    <xf numFmtId="3" fontId="3" fillId="0" borderId="71" xfId="0" applyNumberFormat="1" applyFont="1" applyBorder="1" applyAlignment="1">
      <alignment vertical="center"/>
    </xf>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3" fillId="0" borderId="34" xfId="0" applyFont="1" applyBorder="1" applyAlignment="1">
      <alignment vertical="center"/>
    </xf>
    <xf numFmtId="0" fontId="9" fillId="0" borderId="34" xfId="2" applyBorder="1" applyAlignment="1" applyProtection="1">
      <alignment vertical="top" wrapText="1"/>
    </xf>
    <xf numFmtId="0" fontId="4" fillId="0" borderId="37" xfId="0" applyFont="1" applyBorder="1" applyAlignment="1">
      <alignment vertical="top" wrapText="1"/>
    </xf>
    <xf numFmtId="0" fontId="0" fillId="0" borderId="0" xfId="0" applyAlignment="1">
      <alignment horizontal="left" vertical="top" wrapText="1"/>
    </xf>
    <xf numFmtId="0" fontId="15" fillId="5" borderId="0" xfId="4" applyFill="1"/>
    <xf numFmtId="0" fontId="17" fillId="7" borderId="0" xfId="5" applyFont="1" applyFill="1" applyBorder="1" applyAlignment="1">
      <alignment vertical="center"/>
    </xf>
    <xf numFmtId="0" fontId="17" fillId="7" borderId="0" xfId="5" applyFont="1" applyFill="1" applyBorder="1" applyAlignment="1"/>
    <xf numFmtId="0" fontId="17" fillId="6" borderId="0" xfId="5" applyFont="1" applyBorder="1" applyAlignment="1"/>
    <xf numFmtId="0" fontId="18" fillId="8" borderId="0" xfId="6" applyBorder="1" applyAlignment="1"/>
    <xf numFmtId="0" fontId="20" fillId="8" borderId="0" xfId="6" applyFont="1" applyBorder="1" applyAlignment="1"/>
    <xf numFmtId="0" fontId="0" fillId="0" borderId="12" xfId="0" applyBorder="1" applyAlignment="1">
      <alignment horizontal="left" vertical="top" wrapText="1"/>
    </xf>
    <xf numFmtId="0" fontId="0" fillId="0" borderId="17" xfId="0" applyBorder="1" applyAlignment="1">
      <alignment horizontal="left" vertical="top" wrapText="1"/>
    </xf>
    <xf numFmtId="4" fontId="4" fillId="0" borderId="18" xfId="3" applyNumberFormat="1" applyFont="1" applyFill="1" applyBorder="1" applyAlignment="1">
      <alignment vertical="center"/>
    </xf>
    <xf numFmtId="167" fontId="4" fillId="0" borderId="19" xfId="0" applyNumberFormat="1" applyFont="1" applyBorder="1" applyAlignment="1">
      <alignment vertical="center"/>
    </xf>
    <xf numFmtId="168" fontId="4" fillId="0" borderId="18" xfId="0" applyNumberFormat="1" applyFont="1" applyBorder="1" applyAlignment="1">
      <alignment vertical="center"/>
    </xf>
    <xf numFmtId="167" fontId="4" fillId="0" borderId="22" xfId="0" applyNumberFormat="1" applyFont="1" applyBorder="1" applyAlignment="1">
      <alignment vertical="center"/>
    </xf>
    <xf numFmtId="0" fontId="3" fillId="0" borderId="23" xfId="0" applyFont="1" applyBorder="1" applyAlignment="1">
      <alignment vertical="center" wrapText="1"/>
    </xf>
    <xf numFmtId="0" fontId="9" fillId="0" borderId="0" xfId="2" applyAlignment="1" applyProtection="1">
      <alignment vertical="top"/>
    </xf>
    <xf numFmtId="0" fontId="21" fillId="0" borderId="0" xfId="2" applyFont="1" applyAlignment="1" applyProtection="1">
      <alignment vertical="center"/>
    </xf>
    <xf numFmtId="0" fontId="9" fillId="0" borderId="34" xfId="2" applyFill="1" applyBorder="1" applyAlignment="1" applyProtection="1">
      <alignment wrapText="1"/>
    </xf>
    <xf numFmtId="0" fontId="0" fillId="0" borderId="34" xfId="0" applyBorder="1" applyAlignment="1">
      <alignment horizontal="center" vertical="top"/>
    </xf>
    <xf numFmtId="0" fontId="24" fillId="5" borderId="0" xfId="4" applyFont="1" applyFill="1" applyAlignment="1">
      <alignment vertical="top"/>
    </xf>
    <xf numFmtId="0" fontId="26" fillId="0" borderId="0" xfId="0" applyFont="1" applyAlignment="1">
      <alignment vertical="top"/>
    </xf>
    <xf numFmtId="0" fontId="19" fillId="8" borderId="73" xfId="6" applyFont="1" applyBorder="1" applyAlignment="1">
      <alignment horizontal="left" vertical="top" wrapText="1"/>
    </xf>
    <xf numFmtId="0" fontId="18" fillId="8" borderId="0" xfId="6" applyBorder="1" applyAlignment="1">
      <alignment horizontal="left" vertical="top" wrapText="1"/>
    </xf>
    <xf numFmtId="0" fontId="19" fillId="8" borderId="73" xfId="6" applyFont="1" applyBorder="1" applyAlignment="1">
      <alignment horizontal="left" vertical="center" wrapText="1"/>
    </xf>
    <xf numFmtId="0" fontId="19" fillId="8" borderId="0" xfId="6" applyFont="1" applyBorder="1" applyAlignment="1">
      <alignment horizontal="left" vertical="center" wrapText="1"/>
    </xf>
    <xf numFmtId="0" fontId="25" fillId="8" borderId="0" xfId="2" applyFont="1" applyFill="1" applyBorder="1" applyAlignment="1" applyProtection="1">
      <alignment horizontal="left" vertical="top" wrapText="1"/>
    </xf>
    <xf numFmtId="0" fontId="3" fillId="3" borderId="40" xfId="0" applyFont="1"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29"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3" xfId="0" applyFont="1" applyFill="1" applyBorder="1" applyAlignment="1">
      <alignment horizontal="center" vertical="center"/>
    </xf>
    <xf numFmtId="0" fontId="0" fillId="4" borderId="1" xfId="0" applyFill="1" applyBorder="1" applyAlignment="1">
      <alignment horizontal="center" vertical="center" wrapText="1"/>
    </xf>
    <xf numFmtId="0" fontId="0" fillId="4" borderId="2" xfId="0" applyFill="1" applyBorder="1" applyAlignment="1">
      <alignment horizontal="center" vertical="center" wrapText="1"/>
    </xf>
    <xf numFmtId="0" fontId="0" fillId="4" borderId="5" xfId="0" applyFill="1" applyBorder="1" applyAlignment="1">
      <alignment horizontal="center" vertical="center" wrapText="1"/>
    </xf>
  </cellXfs>
  <cellStyles count="7">
    <cellStyle name="A-DB-Beschreibung" xfId="6" xr:uid="{79505FB4-3462-4317-8A4B-6AF0242FEAC5}"/>
    <cellStyle name="A-DB-Tabellenkopf" xfId="5" xr:uid="{1F0FCE31-0683-42B7-A7E2-4F0AF9C4B28E}"/>
    <cellStyle name="Komma" xfId="3" builtinId="3"/>
    <cellStyle name="Link" xfId="2" builtinId="8"/>
    <cellStyle name="Prozent" xfId="1" builtinId="5"/>
    <cellStyle name="Standard" xfId="0" builtinId="0"/>
    <cellStyle name="Standard 3" xfId="4" xr:uid="{AF4E612D-8E58-4799-A614-0237DC09B867}"/>
  </cellStyles>
  <dxfs count="1572">
    <dxf>
      <font>
        <color rgb="FFFF0000"/>
      </font>
      <numFmt numFmtId="169" formatCode="\(#,##0\)"/>
    </dxf>
    <dxf>
      <numFmt numFmtId="169" formatCode="\(#,##0\)"/>
    </dxf>
    <dxf>
      <font>
        <strike/>
        <color rgb="FFFF0000"/>
      </font>
    </dxf>
    <dxf>
      <numFmt numFmtId="169" formatCode="\(#,##0\)"/>
    </dxf>
    <dxf>
      <font>
        <strike val="0"/>
        <color rgb="FFFF0000"/>
      </font>
    </dxf>
    <dxf>
      <font>
        <strike val="0"/>
        <color rgb="FFFF0000"/>
      </font>
    </dxf>
    <dxf>
      <font>
        <strike val="0"/>
        <color rgb="FFFF0000"/>
      </font>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val="0"/>
        <color rgb="FFFF0000"/>
      </font>
      <numFmt numFmtId="169" formatCode="\(#,##0\)"/>
    </dxf>
    <dxf>
      <numFmt numFmtId="169" formatCode="\(#,##0\)"/>
    </dxf>
    <dxf>
      <font>
        <strike/>
        <color rgb="FFFF0000"/>
      </font>
      <numFmt numFmtId="169" formatCode="\(#,##0\)"/>
    </dxf>
    <dxf>
      <numFmt numFmtId="169" formatCode="\(#,##0\)"/>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val="0"/>
        <color rgb="FFFF0000"/>
      </font>
      <numFmt numFmtId="169" formatCode="\(#,##0\)"/>
    </dxf>
    <dxf>
      <numFmt numFmtId="169" formatCode="\(#,##0\)"/>
    </dxf>
    <dxf>
      <font>
        <strike/>
        <color rgb="FFFF0000"/>
      </font>
      <numFmt numFmtId="169" formatCode="\(#,##0\)"/>
    </dxf>
    <dxf>
      <numFmt numFmtId="169" formatCode="\(#,##0\)"/>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val="0"/>
        <color rgb="FFFF0000"/>
      </font>
      <numFmt numFmtId="169" formatCode="\(#,##0\)"/>
    </dxf>
    <dxf>
      <numFmt numFmtId="169" formatCode="\(#,##0\)"/>
    </dxf>
    <dxf>
      <font>
        <strike/>
        <color rgb="FFFF0000"/>
      </font>
      <numFmt numFmtId="169" formatCode="\(#,##0\)"/>
    </dxf>
    <dxf>
      <numFmt numFmtId="169" formatCode="\(#,##0\)"/>
    </dxf>
    <dxf>
      <font>
        <strike/>
        <color rgb="FFFF0000"/>
      </font>
    </dxf>
    <dxf>
      <numFmt numFmtId="170" formatCode="\(0.0%\)"/>
    </dxf>
    <dxf>
      <font>
        <strike val="0"/>
        <color rgb="FFFF0000"/>
      </font>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strike/>
        <color rgb="FFFF0000"/>
      </font>
      <numFmt numFmtId="170" formatCode="\(0.0%\)"/>
    </dxf>
    <dxf>
      <numFmt numFmtId="170" formatCode="\(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val="0"/>
        <color rgb="FFFF0000"/>
      </font>
    </dxf>
    <dxf>
      <font>
        <strike val="0"/>
        <color rgb="FFFF0000"/>
      </font>
    </dxf>
    <dxf>
      <font>
        <strike val="0"/>
        <color rgb="FFFF0000"/>
      </font>
    </dxf>
    <dxf>
      <font>
        <strike/>
        <color rgb="FFFF0000"/>
      </font>
    </dxf>
    <dxf>
      <numFmt numFmtId="169" formatCode="\(#,##0\)"/>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strike/>
        <color rgb="FFFF0000"/>
      </font>
      <numFmt numFmtId="170" formatCode="\(0.0%\)"/>
    </dxf>
    <dxf>
      <numFmt numFmtId="170" formatCode="\(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val="0"/>
        <color rgb="FFFF0000"/>
      </font>
    </dxf>
    <dxf>
      <font>
        <strike val="0"/>
        <color rgb="FFFF0000"/>
      </font>
    </dxf>
    <dxf>
      <font>
        <strike val="0"/>
        <color rgb="FFFF0000"/>
      </font>
    </dxf>
    <dxf>
      <font>
        <strike/>
        <color rgb="FFFF0000"/>
      </font>
    </dxf>
    <dxf>
      <numFmt numFmtId="169" formatCode="\(#,##0\)"/>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strike/>
        <color rgb="FFFF0000"/>
      </font>
      <numFmt numFmtId="170" formatCode="\(0.0%\)"/>
    </dxf>
    <dxf>
      <numFmt numFmtId="170" formatCode="\(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val="0"/>
        <color rgb="FFFF0000"/>
      </font>
    </dxf>
    <dxf>
      <font>
        <strike val="0"/>
        <color rgb="FFFF0000"/>
      </font>
    </dxf>
    <dxf>
      <font>
        <strike val="0"/>
        <color rgb="FFFF0000"/>
      </font>
    </dxf>
    <dxf>
      <font>
        <strike/>
        <color rgb="FFFF0000"/>
      </font>
    </dxf>
    <dxf>
      <numFmt numFmtId="169" formatCode="\(#,##0\)"/>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color rgb="FFFF0000"/>
      </font>
      <numFmt numFmtId="169" formatCode="\(#,##0\)"/>
    </dxf>
    <dxf>
      <numFmt numFmtId="169" formatCode="\(#,##0\)"/>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strike/>
        <color rgb="FFFF0000"/>
      </font>
      <numFmt numFmtId="171" formatCode="\(#,##0.00\)"/>
    </dxf>
    <dxf>
      <numFmt numFmtId="171" formatCode="\(#,##0.00\)"/>
    </dxf>
    <dxf>
      <font>
        <strike/>
        <color rgb="FFFF0000"/>
      </font>
      <numFmt numFmtId="171" formatCode="\(#,##0.00\)"/>
    </dxf>
    <dxf>
      <numFmt numFmtId="171" formatCode="\(#,##0.00\)"/>
    </dxf>
    <dxf>
      <font>
        <strike/>
        <color rgb="FFFF0000"/>
      </font>
      <numFmt numFmtId="171" formatCode="\(#,##0.00\)"/>
    </dxf>
    <dxf>
      <numFmt numFmtId="171" formatCode="\(#,##0.00\)"/>
    </dxf>
    <dxf>
      <font>
        <strike/>
        <color rgb="FFFF0000"/>
      </font>
      <numFmt numFmtId="171" formatCode="\(#,##0.00\)"/>
    </dxf>
    <dxf>
      <numFmt numFmtId="171" formatCode="\(#,##0.00\)"/>
    </dxf>
    <dxf>
      <font>
        <strike/>
        <color rgb="FFFF0000"/>
      </font>
    </dxf>
    <dxf>
      <numFmt numFmtId="169" formatCode="\(#,##0\)"/>
    </dxf>
    <dxf>
      <font>
        <strike/>
        <color rgb="FFFF0000"/>
      </font>
    </dxf>
    <dxf>
      <numFmt numFmtId="170" formatCode="\(0.0%\)"/>
    </dxf>
    <dxf>
      <font>
        <strike val="0"/>
        <color rgb="FFFF0000"/>
      </font>
    </dxf>
    <dxf>
      <font>
        <strike/>
        <color rgb="FFFF0000"/>
      </font>
    </dxf>
    <dxf>
      <numFmt numFmtId="169" formatCode="\(#,##0\)"/>
    </dxf>
    <dxf>
      <font>
        <strike/>
        <color rgb="FFFF0000"/>
      </font>
    </dxf>
    <dxf>
      <numFmt numFmtId="170" formatCode="\(0.0%\)"/>
    </dxf>
    <dxf>
      <font>
        <strike val="0"/>
        <color rgb="FFFF0000"/>
      </font>
    </dxf>
    <dxf>
      <font>
        <strike/>
        <color rgb="FFFF0000"/>
      </font>
    </dxf>
    <dxf>
      <numFmt numFmtId="169" formatCode="\(#,##0\)"/>
    </dxf>
    <dxf>
      <font>
        <strike/>
        <color rgb="FFFF0000"/>
      </font>
    </dxf>
    <dxf>
      <numFmt numFmtId="170" formatCode="\(0.0%\)"/>
    </dxf>
    <dxf>
      <font>
        <strike val="0"/>
        <color rgb="FFFF0000"/>
      </font>
    </dxf>
    <dxf>
      <font>
        <strike/>
        <color rgb="FFFF0000"/>
      </font>
    </dxf>
    <dxf>
      <numFmt numFmtId="169" formatCode="\(#,##0\)"/>
    </dxf>
    <dxf>
      <font>
        <strike/>
        <color rgb="FFFF0000"/>
      </font>
    </dxf>
    <dxf>
      <numFmt numFmtId="170" formatCode="\(0.0%\)"/>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val="0"/>
        <color rgb="FFFF0000"/>
      </font>
    </dxf>
    <dxf>
      <font>
        <strike val="0"/>
        <color rgb="FFFF0000"/>
      </font>
    </dxf>
    <dxf>
      <font>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color rgb="FFFF0000"/>
      </font>
      <numFmt numFmtId="169" formatCode="\(#,##0\)"/>
    </dxf>
    <dxf>
      <numFmt numFmtId="169" formatCode="\(#,##0\)"/>
    </dxf>
    <dxf>
      <font>
        <strike/>
        <color rgb="FFFF0000"/>
      </font>
    </dxf>
    <dxf>
      <numFmt numFmtId="169" formatCode="\(#,##0\)"/>
    </dxf>
    <dxf>
      <font>
        <color rgb="FFFF0000"/>
      </font>
      <numFmt numFmtId="169" formatCode="\(#,##0\)"/>
    </dxf>
    <dxf>
      <numFmt numFmtId="169" formatCode="\(#,##0\)"/>
    </dxf>
    <dxf>
      <font>
        <strike/>
        <color rgb="FFFF0000"/>
      </font>
    </dxf>
    <dxf>
      <numFmt numFmtId="169" formatCode="\(#,##0\)"/>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color rgb="FFFF0000"/>
      </font>
      <numFmt numFmtId="169" formatCode="\(#,##0\)"/>
    </dxf>
    <dxf>
      <numFmt numFmtId="169" formatCode="\(#,##0\)"/>
    </dxf>
    <dxf>
      <font>
        <strike/>
        <color rgb="FFFF0000"/>
      </font>
    </dxf>
    <dxf>
      <numFmt numFmtId="169" formatCode="\(#,##0\)"/>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val="0"/>
        <color rgb="FFFF0000"/>
      </font>
    </dxf>
    <dxf>
      <font>
        <strike/>
        <color rgb="FFFF0000"/>
      </font>
      <numFmt numFmtId="170" formatCode="\(0.0%\)"/>
    </dxf>
    <dxf>
      <numFmt numFmtId="170" formatCode="\(0.0%\)"/>
    </dxf>
    <dxf>
      <font>
        <strike val="0"/>
        <color rgb="FFFF0000"/>
      </font>
    </dxf>
    <dxf>
      <font>
        <strike/>
        <color rgb="FFFF0000"/>
      </font>
      <numFmt numFmtId="170" formatCode="\(0.0%\)"/>
    </dxf>
    <dxf>
      <numFmt numFmtId="170" formatCode="\(0.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72" formatCode="\(#,##0.0\)"/>
    </dxf>
    <dxf>
      <numFmt numFmtId="172" formatCode="\(#,##0.0\)"/>
    </dxf>
    <dxf>
      <font>
        <strike/>
        <color rgb="FFFF0000"/>
      </font>
      <numFmt numFmtId="172" formatCode="\(#,##0.0\)"/>
    </dxf>
    <dxf>
      <numFmt numFmtId="172" formatCode="\(#,##0.0\)"/>
    </dxf>
    <dxf>
      <font>
        <strike/>
        <color rgb="FFFF0000"/>
      </font>
      <numFmt numFmtId="169" formatCode="\(#,##0\)"/>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72" formatCode="\(#,##0.0\)"/>
    </dxf>
    <dxf>
      <numFmt numFmtId="172" formatCode="\(#,##0.0\)"/>
    </dxf>
    <dxf>
      <font>
        <strike/>
        <color rgb="FFFF0000"/>
      </font>
      <numFmt numFmtId="172" formatCode="\(#,##0.0\)"/>
    </dxf>
    <dxf>
      <numFmt numFmtId="172" formatCode="\(#,##0.0\)"/>
    </dxf>
    <dxf>
      <font>
        <strike/>
        <color rgb="FFFF0000"/>
      </font>
      <numFmt numFmtId="169" formatCode="\(#,##0\)"/>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8</xdr:col>
      <xdr:colOff>304800</xdr:colOff>
      <xdr:row>0</xdr:row>
      <xdr:rowOff>133350</xdr:rowOff>
    </xdr:from>
    <xdr:to>
      <xdr:col>10</xdr:col>
      <xdr:colOff>743716</xdr:colOff>
      <xdr:row>2</xdr:row>
      <xdr:rowOff>114682</xdr:rowOff>
    </xdr:to>
    <xdr:pic>
      <xdr:nvPicPr>
        <xdr:cNvPr id="3" name="Grafik 2">
          <a:extLst>
            <a:ext uri="{FF2B5EF4-FFF2-40B4-BE49-F238E27FC236}">
              <a16:creationId xmlns:a16="http://schemas.microsoft.com/office/drawing/2014/main" id="{CB9A1E94-69BC-4534-A077-8C3849F4449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14925" y="133350"/>
          <a:ext cx="1962916" cy="429007"/>
        </a:xfrm>
        <a:prstGeom prst="rect">
          <a:avLst/>
        </a:prstGeom>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IWUGERMANY/Nichtwohngebaeude-Typologie-Deutschland/blob/main/LICENSE"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Fl&#228;che%20des%20opakre%20oberen%20Geb&#228;udeabschlusses" TargetMode="External"/><Relationship Id="rId3" Type="http://schemas.openxmlformats.org/officeDocument/2006/relationships/hyperlink" Target="NWG_Typologie.xlsm" TargetMode="External"/><Relationship Id="rId7" Type="http://schemas.openxmlformats.org/officeDocument/2006/relationships/hyperlink" Target="Fen_fl" TargetMode="External"/><Relationship Id="rId2" Type="http://schemas.openxmlformats.org/officeDocument/2006/relationships/hyperlink" Target="NWG_Typologie.xlsm" TargetMode="External"/><Relationship Id="rId1" Type="http://schemas.openxmlformats.org/officeDocument/2006/relationships/hyperlink" Target="NWG_Typologie.xlsm" TargetMode="External"/><Relationship Id="rId6" Type="http://schemas.openxmlformats.org/officeDocument/2006/relationships/hyperlink" Target="unterAW_fl" TargetMode="External"/><Relationship Id="rId11" Type="http://schemas.openxmlformats.org/officeDocument/2006/relationships/printerSettings" Target="../printerSettings/printerSettings2.bin"/><Relationship Id="rId5" Type="http://schemas.openxmlformats.org/officeDocument/2006/relationships/hyperlink" Target="AW_fl" TargetMode="External"/><Relationship Id="rId10" Type="http://schemas.openxmlformats.org/officeDocument/2006/relationships/hyperlink" Target="WUEUA_fl" TargetMode="External"/><Relationship Id="rId4" Type="http://schemas.openxmlformats.org/officeDocument/2006/relationships/hyperlink" Target="NWG_Typologie.xlsm" TargetMode="External"/><Relationship Id="rId9" Type="http://schemas.openxmlformats.org/officeDocument/2006/relationships/hyperlink" Target="WUEOA_transp_f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4EB47-8F25-4785-A581-5D8945AA8F31}">
  <dimension ref="A1:Y46"/>
  <sheetViews>
    <sheetView tabSelected="1" zoomScale="120" zoomScaleNormal="120" workbookViewId="0">
      <pane xSplit="1" ySplit="4" topLeftCell="B5" activePane="bottomRight" state="frozen"/>
      <selection pane="topRight" activeCell="B1" sqref="B1"/>
      <selection pane="bottomLeft" activeCell="A5" sqref="A5"/>
      <selection pane="bottomRight" activeCell="C6" sqref="C6:K34"/>
    </sheetView>
  </sheetViews>
  <sheetFormatPr baseColWidth="10" defaultRowHeight="15" x14ac:dyDescent="0.25"/>
  <cols>
    <col min="1" max="1" width="1.42578125" customWidth="1"/>
    <col min="2" max="2" width="2.140625" customWidth="1"/>
  </cols>
  <sheetData>
    <row r="1" spans="1:25" x14ac:dyDescent="0.25">
      <c r="C1" s="144"/>
      <c r="D1" s="144"/>
      <c r="E1" s="144"/>
      <c r="F1" s="144"/>
      <c r="G1" s="144"/>
      <c r="H1" s="144"/>
      <c r="I1" s="144"/>
      <c r="J1" s="144"/>
      <c r="K1" s="144"/>
    </row>
    <row r="2" spans="1:25" ht="20.25" x14ac:dyDescent="0.3">
      <c r="C2" s="145" t="s">
        <v>203</v>
      </c>
      <c r="D2" s="144"/>
      <c r="E2" s="144"/>
      <c r="F2" s="144"/>
      <c r="G2" s="144"/>
      <c r="H2" s="144"/>
      <c r="I2" s="144"/>
      <c r="J2" s="144"/>
      <c r="K2" s="144"/>
    </row>
    <row r="3" spans="1:25" x14ac:dyDescent="0.25">
      <c r="C3" s="144" t="s">
        <v>275</v>
      </c>
      <c r="D3" s="144"/>
      <c r="E3" s="144"/>
      <c r="F3" s="144"/>
      <c r="G3" s="144"/>
      <c r="H3" s="144"/>
      <c r="I3" s="144"/>
      <c r="J3" s="144"/>
      <c r="K3" s="144"/>
    </row>
    <row r="4" spans="1:25" x14ac:dyDescent="0.25">
      <c r="C4" s="144"/>
      <c r="D4" s="144"/>
      <c r="E4" s="144"/>
      <c r="F4" s="144"/>
      <c r="G4" s="144"/>
      <c r="H4" s="144"/>
      <c r="I4" s="144"/>
      <c r="J4" s="144"/>
      <c r="K4" s="144"/>
    </row>
    <row r="5" spans="1:25" x14ac:dyDescent="0.25">
      <c r="A5" s="140"/>
      <c r="B5" s="140"/>
      <c r="C5" s="141" t="s">
        <v>84</v>
      </c>
      <c r="D5" s="142"/>
      <c r="E5" s="143"/>
      <c r="F5" s="143"/>
      <c r="G5" s="143"/>
      <c r="H5" s="143"/>
      <c r="I5" s="143"/>
      <c r="J5" s="143"/>
      <c r="K5" s="143"/>
      <c r="L5" s="140"/>
      <c r="M5" s="140"/>
      <c r="N5" s="140"/>
      <c r="O5" s="140"/>
      <c r="P5" s="140"/>
      <c r="Q5" s="140"/>
      <c r="R5" s="140"/>
      <c r="S5" s="140"/>
      <c r="T5" s="140"/>
      <c r="U5" s="140"/>
      <c r="V5" s="140"/>
      <c r="W5" s="140"/>
      <c r="X5" s="140"/>
      <c r="Y5" s="140"/>
    </row>
    <row r="6" spans="1:25" ht="15" customHeight="1" x14ac:dyDescent="0.25">
      <c r="C6" s="160" t="s">
        <v>253</v>
      </c>
      <c r="D6" s="160"/>
      <c r="E6" s="160"/>
      <c r="F6" s="160"/>
      <c r="G6" s="160"/>
      <c r="H6" s="160"/>
      <c r="I6" s="160"/>
      <c r="J6" s="160"/>
      <c r="K6" s="160"/>
      <c r="L6" s="139"/>
    </row>
    <row r="7" spans="1:25" x14ac:dyDescent="0.25">
      <c r="C7" s="160"/>
      <c r="D7" s="160"/>
      <c r="E7" s="160"/>
      <c r="F7" s="160"/>
      <c r="G7" s="160"/>
      <c r="H7" s="160"/>
      <c r="I7" s="160"/>
      <c r="J7" s="160"/>
      <c r="K7" s="160"/>
      <c r="L7" s="139"/>
    </row>
    <row r="8" spans="1:25" x14ac:dyDescent="0.25">
      <c r="C8" s="160"/>
      <c r="D8" s="160"/>
      <c r="E8" s="160"/>
      <c r="F8" s="160"/>
      <c r="G8" s="160"/>
      <c r="H8" s="160"/>
      <c r="I8" s="160"/>
      <c r="J8" s="160"/>
      <c r="K8" s="160"/>
      <c r="L8" s="139"/>
    </row>
    <row r="9" spans="1:25" x14ac:dyDescent="0.25">
      <c r="C9" s="160"/>
      <c r="D9" s="160"/>
      <c r="E9" s="160"/>
      <c r="F9" s="160"/>
      <c r="G9" s="160"/>
      <c r="H9" s="160"/>
      <c r="I9" s="160"/>
      <c r="J9" s="160"/>
      <c r="K9" s="160"/>
      <c r="L9" s="139"/>
    </row>
    <row r="10" spans="1:25" x14ac:dyDescent="0.25">
      <c r="C10" s="160"/>
      <c r="D10" s="160"/>
      <c r="E10" s="160"/>
      <c r="F10" s="160"/>
      <c r="G10" s="160"/>
      <c r="H10" s="160"/>
      <c r="I10" s="160"/>
      <c r="J10" s="160"/>
      <c r="K10" s="160"/>
      <c r="L10" s="139"/>
    </row>
    <row r="11" spans="1:25" x14ac:dyDescent="0.25">
      <c r="C11" s="160"/>
      <c r="D11" s="160"/>
      <c r="E11" s="160"/>
      <c r="F11" s="160"/>
      <c r="G11" s="160"/>
      <c r="H11" s="160"/>
      <c r="I11" s="160"/>
      <c r="J11" s="160"/>
      <c r="K11" s="160"/>
      <c r="L11" s="139"/>
    </row>
    <row r="12" spans="1:25" x14ac:dyDescent="0.25">
      <c r="C12" s="160"/>
      <c r="D12" s="160"/>
      <c r="E12" s="160"/>
      <c r="F12" s="160"/>
      <c r="G12" s="160"/>
      <c r="H12" s="160"/>
      <c r="I12" s="160"/>
      <c r="J12" s="160"/>
      <c r="K12" s="160"/>
      <c r="L12" s="139"/>
    </row>
    <row r="13" spans="1:25" x14ac:dyDescent="0.25">
      <c r="C13" s="160"/>
      <c r="D13" s="160"/>
      <c r="E13" s="160"/>
      <c r="F13" s="160"/>
      <c r="G13" s="160"/>
      <c r="H13" s="160"/>
      <c r="I13" s="160"/>
      <c r="J13" s="160"/>
      <c r="K13" s="160"/>
      <c r="L13" s="139"/>
    </row>
    <row r="14" spans="1:25" x14ac:dyDescent="0.25">
      <c r="C14" s="160"/>
      <c r="D14" s="160"/>
      <c r="E14" s="160"/>
      <c r="F14" s="160"/>
      <c r="G14" s="160"/>
      <c r="H14" s="160"/>
      <c r="I14" s="160"/>
      <c r="J14" s="160"/>
      <c r="K14" s="160"/>
      <c r="L14" s="139"/>
    </row>
    <row r="15" spans="1:25" x14ac:dyDescent="0.25">
      <c r="C15" s="160"/>
      <c r="D15" s="160"/>
      <c r="E15" s="160"/>
      <c r="F15" s="160"/>
      <c r="G15" s="160"/>
      <c r="H15" s="160"/>
      <c r="I15" s="160"/>
      <c r="J15" s="160"/>
      <c r="K15" s="160"/>
      <c r="L15" s="139"/>
    </row>
    <row r="16" spans="1:25" x14ac:dyDescent="0.25">
      <c r="C16" s="160"/>
      <c r="D16" s="160"/>
      <c r="E16" s="160"/>
      <c r="F16" s="160"/>
      <c r="G16" s="160"/>
      <c r="H16" s="160"/>
      <c r="I16" s="160"/>
      <c r="J16" s="160"/>
      <c r="K16" s="160"/>
      <c r="L16" s="139"/>
    </row>
    <row r="17" spans="3:12" x14ac:dyDescent="0.25">
      <c r="C17" s="160"/>
      <c r="D17" s="160"/>
      <c r="E17" s="160"/>
      <c r="F17" s="160"/>
      <c r="G17" s="160"/>
      <c r="H17" s="160"/>
      <c r="I17" s="160"/>
      <c r="J17" s="160"/>
      <c r="K17" s="160"/>
      <c r="L17" s="139"/>
    </row>
    <row r="18" spans="3:12" x14ac:dyDescent="0.25">
      <c r="C18" s="160"/>
      <c r="D18" s="160"/>
      <c r="E18" s="160"/>
      <c r="F18" s="160"/>
      <c r="G18" s="160"/>
      <c r="H18" s="160"/>
      <c r="I18" s="160"/>
      <c r="J18" s="160"/>
      <c r="K18" s="160"/>
      <c r="L18" s="139"/>
    </row>
    <row r="19" spans="3:12" x14ac:dyDescent="0.25">
      <c r="C19" s="160"/>
      <c r="D19" s="160"/>
      <c r="E19" s="160"/>
      <c r="F19" s="160"/>
      <c r="G19" s="160"/>
      <c r="H19" s="160"/>
      <c r="I19" s="160"/>
      <c r="J19" s="160"/>
      <c r="K19" s="160"/>
      <c r="L19" s="139"/>
    </row>
    <row r="20" spans="3:12" x14ac:dyDescent="0.25">
      <c r="C20" s="160"/>
      <c r="D20" s="160"/>
      <c r="E20" s="160"/>
      <c r="F20" s="160"/>
      <c r="G20" s="160"/>
      <c r="H20" s="160"/>
      <c r="I20" s="160"/>
      <c r="J20" s="160"/>
      <c r="K20" s="160"/>
      <c r="L20" s="139"/>
    </row>
    <row r="21" spans="3:12" x14ac:dyDescent="0.25">
      <c r="C21" s="160"/>
      <c r="D21" s="160"/>
      <c r="E21" s="160"/>
      <c r="F21" s="160"/>
      <c r="G21" s="160"/>
      <c r="H21" s="160"/>
      <c r="I21" s="160"/>
      <c r="J21" s="160"/>
      <c r="K21" s="160"/>
      <c r="L21" s="139"/>
    </row>
    <row r="22" spans="3:12" x14ac:dyDescent="0.25">
      <c r="C22" s="160"/>
      <c r="D22" s="160"/>
      <c r="E22" s="160"/>
      <c r="F22" s="160"/>
      <c r="G22" s="160"/>
      <c r="H22" s="160"/>
      <c r="I22" s="160"/>
      <c r="J22" s="160"/>
      <c r="K22" s="160"/>
      <c r="L22" s="139"/>
    </row>
    <row r="23" spans="3:12" x14ac:dyDescent="0.25">
      <c r="C23" s="160"/>
      <c r="D23" s="160"/>
      <c r="E23" s="160"/>
      <c r="F23" s="160"/>
      <c r="G23" s="160"/>
      <c r="H23" s="160"/>
      <c r="I23" s="160"/>
      <c r="J23" s="160"/>
      <c r="K23" s="160"/>
      <c r="L23" s="139"/>
    </row>
    <row r="24" spans="3:12" x14ac:dyDescent="0.25">
      <c r="C24" s="160"/>
      <c r="D24" s="160"/>
      <c r="E24" s="160"/>
      <c r="F24" s="160"/>
      <c r="G24" s="160"/>
      <c r="H24" s="160"/>
      <c r="I24" s="160"/>
      <c r="J24" s="160"/>
      <c r="K24" s="160"/>
      <c r="L24" s="139"/>
    </row>
    <row r="25" spans="3:12" x14ac:dyDescent="0.25">
      <c r="C25" s="160"/>
      <c r="D25" s="160"/>
      <c r="E25" s="160"/>
      <c r="F25" s="160"/>
      <c r="G25" s="160"/>
      <c r="H25" s="160"/>
      <c r="I25" s="160"/>
      <c r="J25" s="160"/>
      <c r="K25" s="160"/>
      <c r="L25" s="139"/>
    </row>
    <row r="26" spans="3:12" x14ac:dyDescent="0.25">
      <c r="C26" s="160"/>
      <c r="D26" s="160"/>
      <c r="E26" s="160"/>
      <c r="F26" s="160"/>
      <c r="G26" s="160"/>
      <c r="H26" s="160"/>
      <c r="I26" s="160"/>
      <c r="J26" s="160"/>
      <c r="K26" s="160"/>
      <c r="L26" s="139"/>
    </row>
    <row r="27" spans="3:12" x14ac:dyDescent="0.25">
      <c r="C27" s="160"/>
      <c r="D27" s="160"/>
      <c r="E27" s="160"/>
      <c r="F27" s="160"/>
      <c r="G27" s="160"/>
      <c r="H27" s="160"/>
      <c r="I27" s="160"/>
      <c r="J27" s="160"/>
      <c r="K27" s="160"/>
      <c r="L27" s="139"/>
    </row>
    <row r="28" spans="3:12" x14ac:dyDescent="0.25">
      <c r="C28" s="160"/>
      <c r="D28" s="160"/>
      <c r="E28" s="160"/>
      <c r="F28" s="160"/>
      <c r="G28" s="160"/>
      <c r="H28" s="160"/>
      <c r="I28" s="160"/>
      <c r="J28" s="160"/>
      <c r="K28" s="160"/>
      <c r="L28" s="139"/>
    </row>
    <row r="29" spans="3:12" x14ac:dyDescent="0.25">
      <c r="C29" s="160"/>
      <c r="D29" s="160"/>
      <c r="E29" s="160"/>
      <c r="F29" s="160"/>
      <c r="G29" s="160"/>
      <c r="H29" s="160"/>
      <c r="I29" s="160"/>
      <c r="J29" s="160"/>
      <c r="K29" s="160"/>
      <c r="L29" s="139"/>
    </row>
    <row r="30" spans="3:12" x14ac:dyDescent="0.25">
      <c r="C30" s="160"/>
      <c r="D30" s="160"/>
      <c r="E30" s="160"/>
      <c r="F30" s="160"/>
      <c r="G30" s="160"/>
      <c r="H30" s="160"/>
      <c r="I30" s="160"/>
      <c r="J30" s="160"/>
      <c r="K30" s="160"/>
      <c r="L30" s="139"/>
    </row>
    <row r="31" spans="3:12" x14ac:dyDescent="0.25">
      <c r="C31" s="160"/>
      <c r="D31" s="160"/>
      <c r="E31" s="160"/>
      <c r="F31" s="160"/>
      <c r="G31" s="160"/>
      <c r="H31" s="160"/>
      <c r="I31" s="160"/>
      <c r="J31" s="160"/>
      <c r="K31" s="160"/>
      <c r="L31" s="139"/>
    </row>
    <row r="32" spans="3:12" x14ac:dyDescent="0.25">
      <c r="C32" s="160"/>
      <c r="D32" s="160"/>
      <c r="E32" s="160"/>
      <c r="F32" s="160"/>
      <c r="G32" s="160"/>
      <c r="H32" s="160"/>
      <c r="I32" s="160"/>
      <c r="J32" s="160"/>
      <c r="K32" s="160"/>
      <c r="L32" s="139"/>
    </row>
    <row r="33" spans="1:25" x14ac:dyDescent="0.25">
      <c r="C33" s="160"/>
      <c r="D33" s="160"/>
      <c r="E33" s="160"/>
      <c r="F33" s="160"/>
      <c r="G33" s="160"/>
      <c r="H33" s="160"/>
      <c r="I33" s="160"/>
      <c r="J33" s="160"/>
      <c r="K33" s="160"/>
      <c r="L33" s="139"/>
    </row>
    <row r="34" spans="1:25" ht="11.25" customHeight="1" x14ac:dyDescent="0.25">
      <c r="C34" s="160"/>
      <c r="D34" s="160"/>
      <c r="E34" s="160"/>
      <c r="F34" s="160"/>
      <c r="G34" s="160"/>
      <c r="H34" s="160"/>
      <c r="I34" s="160"/>
      <c r="J34" s="160"/>
      <c r="K34" s="160"/>
      <c r="L34" s="139"/>
    </row>
    <row r="35" spans="1:25" x14ac:dyDescent="0.25">
      <c r="C35" s="160" t="s">
        <v>250</v>
      </c>
      <c r="D35" s="160"/>
      <c r="E35" s="160"/>
      <c r="F35" s="160"/>
      <c r="G35" s="160"/>
      <c r="H35" s="160"/>
      <c r="I35" s="160"/>
      <c r="J35" s="160"/>
      <c r="K35" s="160"/>
      <c r="L35" s="139"/>
    </row>
    <row r="36" spans="1:25" x14ac:dyDescent="0.25">
      <c r="C36" s="160"/>
      <c r="D36" s="160"/>
      <c r="E36" s="160"/>
      <c r="F36" s="160"/>
      <c r="G36" s="160"/>
      <c r="H36" s="160"/>
      <c r="I36" s="160"/>
      <c r="J36" s="160"/>
      <c r="K36" s="160"/>
      <c r="L36" s="139"/>
    </row>
    <row r="37" spans="1:25" x14ac:dyDescent="0.25">
      <c r="A37" s="140"/>
      <c r="B37" s="140"/>
      <c r="C37" s="141" t="s">
        <v>230</v>
      </c>
      <c r="D37" s="142"/>
      <c r="E37" s="143"/>
      <c r="F37" s="143"/>
      <c r="G37" s="143"/>
      <c r="H37" s="143"/>
      <c r="I37" s="143"/>
      <c r="J37" s="143"/>
      <c r="K37" s="143"/>
      <c r="L37" s="140"/>
      <c r="M37" s="140"/>
      <c r="N37" s="140"/>
      <c r="O37" s="140"/>
      <c r="P37" s="140"/>
      <c r="Q37" s="140"/>
      <c r="R37" s="140"/>
      <c r="S37" s="140"/>
      <c r="T37" s="140"/>
      <c r="U37" s="140"/>
      <c r="V37" s="140"/>
      <c r="W37" s="140"/>
      <c r="X37" s="140"/>
      <c r="Y37" s="140"/>
    </row>
    <row r="38" spans="1:25" ht="33.75" customHeight="1" x14ac:dyDescent="0.25">
      <c r="A38" s="140"/>
      <c r="B38" s="140"/>
      <c r="C38" s="162" t="s">
        <v>260</v>
      </c>
      <c r="D38" s="162"/>
      <c r="E38" s="162"/>
      <c r="F38" s="162"/>
      <c r="G38" s="162"/>
      <c r="H38" s="162"/>
      <c r="I38" s="162"/>
      <c r="J38" s="162"/>
      <c r="K38" s="162"/>
      <c r="L38" s="140"/>
      <c r="M38" s="140"/>
      <c r="N38" s="140"/>
      <c r="O38" s="140"/>
      <c r="P38" s="140"/>
      <c r="Q38" s="140"/>
      <c r="R38" s="140"/>
      <c r="S38" s="140"/>
      <c r="T38" s="140"/>
      <c r="U38" s="140"/>
      <c r="V38" s="140"/>
      <c r="W38" s="140"/>
      <c r="X38" s="140"/>
      <c r="Y38" s="140"/>
    </row>
    <row r="39" spans="1:25" s="158" customFormat="1" ht="15.75" customHeight="1" x14ac:dyDescent="0.25">
      <c r="A39" s="157"/>
      <c r="B39" s="157"/>
      <c r="C39" s="163" t="s">
        <v>261</v>
      </c>
      <c r="D39" s="163"/>
      <c r="E39" s="163"/>
      <c r="F39" s="163"/>
      <c r="G39" s="163"/>
      <c r="H39" s="163"/>
      <c r="I39" s="163"/>
      <c r="J39" s="163"/>
      <c r="K39" s="163"/>
      <c r="L39" s="157"/>
      <c r="M39" s="157"/>
      <c r="N39" s="157"/>
      <c r="O39" s="157"/>
      <c r="P39" s="157"/>
      <c r="Q39" s="157"/>
      <c r="R39" s="157"/>
      <c r="S39" s="157"/>
      <c r="T39" s="157"/>
      <c r="U39" s="157"/>
      <c r="V39" s="157"/>
      <c r="W39" s="157"/>
      <c r="X39" s="157"/>
      <c r="Y39" s="157"/>
    </row>
    <row r="40" spans="1:25" ht="72.75" customHeight="1" x14ac:dyDescent="0.25">
      <c r="A40" s="140"/>
      <c r="B40" s="140"/>
      <c r="C40" s="162" t="s">
        <v>262</v>
      </c>
      <c r="D40" s="162"/>
      <c r="E40" s="162"/>
      <c r="F40" s="162"/>
      <c r="G40" s="162"/>
      <c r="H40" s="162"/>
      <c r="I40" s="162"/>
      <c r="J40" s="162"/>
      <c r="K40" s="162"/>
      <c r="L40" s="140"/>
      <c r="M40" s="140"/>
      <c r="N40" s="140"/>
      <c r="O40" s="140"/>
      <c r="P40" s="140"/>
      <c r="Q40" s="140"/>
      <c r="R40" s="140"/>
      <c r="S40" s="140"/>
      <c r="T40" s="140"/>
      <c r="U40" s="140"/>
      <c r="V40" s="140"/>
      <c r="W40" s="140"/>
      <c r="X40" s="140"/>
      <c r="Y40" s="140"/>
    </row>
    <row r="41" spans="1:25" x14ac:dyDescent="0.25">
      <c r="A41" s="140"/>
      <c r="B41" s="140"/>
      <c r="C41" s="141" t="s">
        <v>231</v>
      </c>
      <c r="D41" s="142"/>
      <c r="E41" s="143"/>
      <c r="F41" s="143"/>
      <c r="G41" s="143"/>
      <c r="H41" s="143"/>
      <c r="I41" s="143"/>
      <c r="J41" s="143"/>
      <c r="K41" s="143"/>
      <c r="L41" s="140"/>
      <c r="M41" s="140"/>
      <c r="N41" s="140"/>
      <c r="O41" s="140"/>
      <c r="P41" s="140"/>
      <c r="Q41" s="140"/>
      <c r="R41" s="140"/>
      <c r="S41" s="140"/>
      <c r="T41" s="140"/>
      <c r="U41" s="140"/>
      <c r="V41" s="140"/>
      <c r="W41" s="140"/>
      <c r="X41" s="140"/>
      <c r="Y41" s="140"/>
    </row>
    <row r="42" spans="1:25" ht="42.75" customHeight="1" x14ac:dyDescent="0.25">
      <c r="A42" s="140"/>
      <c r="B42" s="140"/>
      <c r="C42" s="161" t="s">
        <v>258</v>
      </c>
      <c r="D42" s="161"/>
      <c r="E42" s="161"/>
      <c r="F42" s="161"/>
      <c r="G42" s="161"/>
      <c r="H42" s="161"/>
      <c r="I42" s="161"/>
      <c r="J42" s="161"/>
      <c r="K42" s="161"/>
      <c r="L42" s="140"/>
      <c r="M42" s="140"/>
      <c r="N42" s="140"/>
      <c r="O42" s="140"/>
      <c r="P42" s="140"/>
      <c r="Q42" s="140"/>
      <c r="R42" s="140"/>
      <c r="S42" s="140"/>
      <c r="T42" s="140"/>
      <c r="U42" s="140"/>
      <c r="V42" s="140"/>
      <c r="W42" s="140"/>
      <c r="X42" s="140"/>
      <c r="Y42" s="140"/>
    </row>
    <row r="43" spans="1:25" x14ac:dyDescent="0.25">
      <c r="A43" s="140"/>
      <c r="B43" s="140"/>
      <c r="C43" s="141" t="s">
        <v>254</v>
      </c>
      <c r="D43" s="142"/>
      <c r="E43" s="143"/>
      <c r="F43" s="143"/>
      <c r="G43" s="143"/>
      <c r="H43" s="143"/>
      <c r="I43" s="143"/>
      <c r="J43" s="143"/>
      <c r="K43" s="143"/>
      <c r="L43" s="140"/>
      <c r="M43" s="140"/>
      <c r="N43" s="140"/>
      <c r="O43" s="140"/>
      <c r="P43" s="140"/>
      <c r="Q43" s="140"/>
      <c r="R43" s="140"/>
      <c r="S43" s="140"/>
      <c r="T43" s="140"/>
      <c r="U43" s="140"/>
      <c r="V43" s="140"/>
      <c r="W43" s="140"/>
      <c r="X43" s="140"/>
      <c r="Y43" s="140"/>
    </row>
    <row r="44" spans="1:25" ht="34.5" customHeight="1" x14ac:dyDescent="0.25">
      <c r="A44" s="140"/>
      <c r="B44" s="140"/>
      <c r="C44" s="162" t="s">
        <v>259</v>
      </c>
      <c r="D44" s="162"/>
      <c r="E44" s="162"/>
      <c r="F44" s="162"/>
      <c r="G44" s="162"/>
      <c r="H44" s="162"/>
      <c r="I44" s="162"/>
      <c r="J44" s="162"/>
      <c r="K44" s="162"/>
      <c r="L44" s="140"/>
      <c r="M44" s="140"/>
      <c r="N44" s="140"/>
      <c r="O44" s="140"/>
      <c r="P44" s="140"/>
      <c r="Q44" s="140"/>
      <c r="R44" s="140"/>
      <c r="S44" s="140"/>
      <c r="T44" s="140"/>
      <c r="U44" s="140"/>
      <c r="V44" s="140"/>
      <c r="W44" s="140"/>
      <c r="X44" s="140"/>
      <c r="Y44" s="140"/>
    </row>
    <row r="45" spans="1:25" x14ac:dyDescent="0.25">
      <c r="A45" s="140"/>
      <c r="B45" s="140"/>
      <c r="C45" s="141" t="s">
        <v>232</v>
      </c>
      <c r="D45" s="142"/>
      <c r="E45" s="143"/>
      <c r="F45" s="143"/>
      <c r="G45" s="143"/>
      <c r="H45" s="143"/>
      <c r="I45" s="143"/>
      <c r="J45" s="143"/>
      <c r="K45" s="143"/>
      <c r="L45" s="140"/>
      <c r="M45" s="140"/>
      <c r="N45" s="140"/>
      <c r="O45" s="140"/>
      <c r="P45" s="140"/>
      <c r="Q45" s="140"/>
      <c r="R45" s="140"/>
      <c r="S45" s="140"/>
      <c r="T45" s="140"/>
      <c r="U45" s="140"/>
      <c r="V45" s="140"/>
      <c r="W45" s="140"/>
      <c r="X45" s="140"/>
      <c r="Y45" s="140"/>
    </row>
    <row r="46" spans="1:25" ht="47.25" customHeight="1" x14ac:dyDescent="0.25">
      <c r="A46" s="140"/>
      <c r="B46" s="140"/>
      <c r="C46" s="159" t="s">
        <v>248</v>
      </c>
      <c r="D46" s="159"/>
      <c r="E46" s="159"/>
      <c r="F46" s="159"/>
      <c r="G46" s="159"/>
      <c r="H46" s="159"/>
      <c r="I46" s="159"/>
      <c r="J46" s="159"/>
      <c r="K46" s="159"/>
      <c r="L46" s="140"/>
      <c r="M46" s="140"/>
      <c r="N46" s="140"/>
      <c r="O46" s="140"/>
      <c r="P46" s="140"/>
      <c r="Q46" s="140"/>
      <c r="R46" s="140"/>
      <c r="S46" s="140"/>
      <c r="T46" s="140"/>
      <c r="U46" s="140"/>
      <c r="V46" s="140"/>
      <c r="W46" s="140"/>
      <c r="X46" s="140"/>
      <c r="Y46" s="140"/>
    </row>
  </sheetData>
  <mergeCells count="8">
    <mergeCell ref="C46:K46"/>
    <mergeCell ref="C6:K34"/>
    <mergeCell ref="C42:K42"/>
    <mergeCell ref="C35:K36"/>
    <mergeCell ref="C44:K44"/>
    <mergeCell ref="C38:K38"/>
    <mergeCell ref="C39:K39"/>
    <mergeCell ref="C40:K40"/>
  </mergeCells>
  <hyperlinks>
    <hyperlink ref="C39" r:id="rId1" xr:uid="{2C58D85E-4EDB-4852-954E-AFC7477BCD73}"/>
  </hyperlinks>
  <pageMargins left="0.7" right="0.7" top="0.78740157499999996" bottom="0.78740157499999996" header="0.3" footer="0.3"/>
  <pageSetup paperSize="9" scale="74"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5371C-3B87-416F-9F0A-435913B016A6}">
  <sheetPr codeName="Tabelle1"/>
  <dimension ref="A1:F38"/>
  <sheetViews>
    <sheetView zoomScale="90" zoomScaleNormal="90" workbookViewId="0">
      <selection activeCell="B26" sqref="B26"/>
    </sheetView>
  </sheetViews>
  <sheetFormatPr baseColWidth="10" defaultRowHeight="15" x14ac:dyDescent="0.25"/>
  <cols>
    <col min="1" max="1" width="5.28515625" style="68" bestFit="1" customWidth="1"/>
    <col min="2" max="2" width="38.5703125" style="68" customWidth="1"/>
    <col min="3" max="3" width="24.7109375" style="68" customWidth="1"/>
    <col min="4" max="4" width="12.85546875" style="84" bestFit="1" customWidth="1"/>
    <col min="5" max="5" width="153.140625" style="69" customWidth="1"/>
    <col min="6" max="16384" width="11.42578125" style="68"/>
  </cols>
  <sheetData>
    <row r="1" spans="1:5" s="71" customFormat="1" x14ac:dyDescent="0.25">
      <c r="A1" s="71" t="s">
        <v>255</v>
      </c>
      <c r="B1" s="77" t="s">
        <v>256</v>
      </c>
      <c r="C1" s="73" t="s">
        <v>204</v>
      </c>
      <c r="D1" s="81" t="s">
        <v>102</v>
      </c>
      <c r="E1" s="74" t="s">
        <v>84</v>
      </c>
    </row>
    <row r="2" spans="1:5" ht="30" x14ac:dyDescent="0.25">
      <c r="A2" s="78">
        <v>1</v>
      </c>
      <c r="B2" s="79" t="s">
        <v>174</v>
      </c>
      <c r="C2" s="75" t="s">
        <v>92</v>
      </c>
      <c r="D2" s="82" t="s">
        <v>103</v>
      </c>
      <c r="E2" s="72" t="s">
        <v>173</v>
      </c>
    </row>
    <row r="3" spans="1:5" ht="30" x14ac:dyDescent="0.25">
      <c r="A3" s="78">
        <v>2</v>
      </c>
      <c r="B3" s="79" t="s">
        <v>178</v>
      </c>
      <c r="C3" s="138" t="s">
        <v>183</v>
      </c>
      <c r="D3" s="82" t="s">
        <v>103</v>
      </c>
      <c r="E3" s="72" t="s">
        <v>171</v>
      </c>
    </row>
    <row r="4" spans="1:5" ht="30" x14ac:dyDescent="0.25">
      <c r="A4" s="78">
        <v>3</v>
      </c>
      <c r="B4" s="79" t="s">
        <v>43</v>
      </c>
      <c r="C4" s="76" t="s">
        <v>89</v>
      </c>
      <c r="D4" s="83" t="s">
        <v>104</v>
      </c>
      <c r="E4" s="67" t="s">
        <v>87</v>
      </c>
    </row>
    <row r="5" spans="1:5" x14ac:dyDescent="0.25">
      <c r="A5" s="78">
        <v>4</v>
      </c>
      <c r="B5" s="79" t="s">
        <v>83</v>
      </c>
      <c r="C5" s="76" t="s">
        <v>90</v>
      </c>
      <c r="D5" s="83" t="s">
        <v>104</v>
      </c>
      <c r="E5" s="80" t="s">
        <v>170</v>
      </c>
    </row>
    <row r="6" spans="1:5" x14ac:dyDescent="0.25">
      <c r="A6" s="78">
        <v>5</v>
      </c>
      <c r="B6" s="79" t="s">
        <v>169</v>
      </c>
      <c r="C6" s="76" t="s">
        <v>184</v>
      </c>
      <c r="D6" s="83" t="s">
        <v>104</v>
      </c>
      <c r="E6" s="80" t="s">
        <v>172</v>
      </c>
    </row>
    <row r="7" spans="1:5" x14ac:dyDescent="0.25">
      <c r="A7" s="78">
        <v>6</v>
      </c>
      <c r="B7" s="79" t="s">
        <v>186</v>
      </c>
      <c r="C7" s="76" t="s">
        <v>185</v>
      </c>
      <c r="D7" s="83" t="s">
        <v>103</v>
      </c>
      <c r="E7" s="80" t="s">
        <v>187</v>
      </c>
    </row>
    <row r="8" spans="1:5" ht="30" x14ac:dyDescent="0.25">
      <c r="A8" s="78">
        <v>7</v>
      </c>
      <c r="B8" s="79" t="s">
        <v>188</v>
      </c>
      <c r="C8" s="76" t="s">
        <v>189</v>
      </c>
      <c r="D8" s="83" t="s">
        <v>190</v>
      </c>
      <c r="E8" s="80" t="s">
        <v>192</v>
      </c>
    </row>
    <row r="9" spans="1:5" x14ac:dyDescent="0.25">
      <c r="A9" s="78">
        <v>8</v>
      </c>
      <c r="B9" s="79" t="s">
        <v>194</v>
      </c>
      <c r="C9" s="76" t="s">
        <v>191</v>
      </c>
      <c r="D9" s="83" t="s">
        <v>195</v>
      </c>
      <c r="E9" s="80" t="s">
        <v>193</v>
      </c>
    </row>
    <row r="10" spans="1:5" x14ac:dyDescent="0.25">
      <c r="A10" s="78">
        <v>9</v>
      </c>
      <c r="B10" s="79" t="s">
        <v>175</v>
      </c>
      <c r="C10" s="70" t="s">
        <v>88</v>
      </c>
      <c r="D10" s="83" t="s">
        <v>104</v>
      </c>
      <c r="E10" s="67" t="s">
        <v>106</v>
      </c>
    </row>
    <row r="11" spans="1:5" x14ac:dyDescent="0.25">
      <c r="A11" s="78">
        <v>10</v>
      </c>
      <c r="B11" s="79" t="s">
        <v>176</v>
      </c>
      <c r="C11" s="76" t="s">
        <v>91</v>
      </c>
      <c r="D11" s="83" t="s">
        <v>104</v>
      </c>
      <c r="E11" s="80" t="s">
        <v>121</v>
      </c>
    </row>
    <row r="12" spans="1:5" x14ac:dyDescent="0.25">
      <c r="A12" s="78">
        <v>11</v>
      </c>
      <c r="B12" s="137" t="s">
        <v>177</v>
      </c>
      <c r="C12" s="76" t="s">
        <v>93</v>
      </c>
      <c r="D12" s="83" t="s">
        <v>104</v>
      </c>
      <c r="E12" s="80" t="s">
        <v>94</v>
      </c>
    </row>
    <row r="13" spans="1:5" ht="30" x14ac:dyDescent="0.25">
      <c r="A13" s="78">
        <v>12</v>
      </c>
      <c r="B13" s="79" t="s">
        <v>179</v>
      </c>
      <c r="C13" s="76" t="s">
        <v>95</v>
      </c>
      <c r="D13" s="83" t="s">
        <v>104</v>
      </c>
      <c r="E13" s="80" t="s">
        <v>96</v>
      </c>
    </row>
    <row r="14" spans="1:5" ht="30" x14ac:dyDescent="0.25">
      <c r="A14" s="78">
        <v>13</v>
      </c>
      <c r="B14" s="137" t="s">
        <v>180</v>
      </c>
      <c r="C14" s="76" t="s">
        <v>98</v>
      </c>
      <c r="D14" s="83" t="s">
        <v>104</v>
      </c>
      <c r="E14" s="80" t="s">
        <v>100</v>
      </c>
    </row>
    <row r="15" spans="1:5" ht="30" x14ac:dyDescent="0.25">
      <c r="A15" s="78">
        <v>14</v>
      </c>
      <c r="B15" s="137" t="s">
        <v>181</v>
      </c>
      <c r="C15" s="76" t="s">
        <v>99</v>
      </c>
      <c r="D15" s="83" t="s">
        <v>104</v>
      </c>
      <c r="E15" s="80" t="s">
        <v>101</v>
      </c>
    </row>
    <row r="16" spans="1:5" ht="30" x14ac:dyDescent="0.25">
      <c r="A16" s="78">
        <v>15</v>
      </c>
      <c r="B16" s="137" t="s">
        <v>182</v>
      </c>
      <c r="C16" s="76" t="s">
        <v>97</v>
      </c>
      <c r="D16" s="83" t="s">
        <v>104</v>
      </c>
      <c r="E16" s="85" t="s">
        <v>105</v>
      </c>
    </row>
    <row r="17" spans="1:6" x14ac:dyDescent="0.25">
      <c r="A17" s="78">
        <v>16</v>
      </c>
      <c r="B17" s="79" t="s">
        <v>196</v>
      </c>
      <c r="C17" s="76" t="s">
        <v>198</v>
      </c>
      <c r="D17" s="83" t="s">
        <v>199</v>
      </c>
      <c r="E17" s="80" t="s">
        <v>197</v>
      </c>
    </row>
    <row r="18" spans="1:6" x14ac:dyDescent="0.25">
      <c r="A18" s="78">
        <v>17</v>
      </c>
      <c r="B18" s="79" t="s">
        <v>200</v>
      </c>
      <c r="C18" s="76" t="s">
        <v>201</v>
      </c>
      <c r="D18" s="83" t="s">
        <v>199</v>
      </c>
      <c r="E18" s="80" t="s">
        <v>202</v>
      </c>
    </row>
    <row r="19" spans="1:6" x14ac:dyDescent="0.25">
      <c r="A19" s="78">
        <v>18</v>
      </c>
      <c r="B19" s="79" t="s">
        <v>205</v>
      </c>
      <c r="C19" s="76" t="s">
        <v>207</v>
      </c>
      <c r="D19" s="83" t="s">
        <v>199</v>
      </c>
      <c r="E19" s="80" t="s">
        <v>210</v>
      </c>
    </row>
    <row r="20" spans="1:6" x14ac:dyDescent="0.25">
      <c r="A20" s="78">
        <v>19</v>
      </c>
      <c r="B20" s="79" t="s">
        <v>206</v>
      </c>
      <c r="C20" s="76" t="s">
        <v>208</v>
      </c>
      <c r="D20" s="83" t="s">
        <v>199</v>
      </c>
      <c r="E20" s="80" t="s">
        <v>209</v>
      </c>
    </row>
    <row r="21" spans="1:6" x14ac:dyDescent="0.25">
      <c r="A21" s="78">
        <v>20</v>
      </c>
      <c r="B21" s="137" t="s">
        <v>217</v>
      </c>
      <c r="C21" s="76" t="s">
        <v>218</v>
      </c>
      <c r="D21" s="83" t="s">
        <v>199</v>
      </c>
      <c r="E21" s="80" t="s">
        <v>219</v>
      </c>
    </row>
    <row r="22" spans="1:6" x14ac:dyDescent="0.25">
      <c r="A22" s="78">
        <v>21</v>
      </c>
      <c r="B22" s="137" t="s">
        <v>273</v>
      </c>
      <c r="C22" s="76" t="s">
        <v>265</v>
      </c>
      <c r="D22" s="83" t="s">
        <v>199</v>
      </c>
      <c r="E22" s="80" t="s">
        <v>266</v>
      </c>
    </row>
    <row r="23" spans="1:6" ht="30" x14ac:dyDescent="0.25">
      <c r="A23" s="78">
        <v>22</v>
      </c>
      <c r="B23" s="79" t="s">
        <v>220</v>
      </c>
      <c r="C23" s="76" t="s">
        <v>223</v>
      </c>
      <c r="D23" s="83" t="s">
        <v>103</v>
      </c>
      <c r="E23" s="80" t="s">
        <v>222</v>
      </c>
    </row>
    <row r="24" spans="1:6" ht="30" x14ac:dyDescent="0.25">
      <c r="A24" s="78">
        <v>23</v>
      </c>
      <c r="B24" s="137" t="s">
        <v>224</v>
      </c>
      <c r="C24" s="76" t="s">
        <v>226</v>
      </c>
      <c r="D24" s="83" t="s">
        <v>103</v>
      </c>
      <c r="E24" s="80" t="s">
        <v>228</v>
      </c>
    </row>
    <row r="25" spans="1:6" ht="30" x14ac:dyDescent="0.25">
      <c r="A25" s="78">
        <v>24</v>
      </c>
      <c r="B25" s="137" t="s">
        <v>225</v>
      </c>
      <c r="C25" s="76" t="s">
        <v>227</v>
      </c>
      <c r="D25" s="83" t="s">
        <v>103</v>
      </c>
      <c r="E25" s="80" t="s">
        <v>229</v>
      </c>
    </row>
    <row r="26" spans="1:6" ht="30" x14ac:dyDescent="0.25">
      <c r="A26" s="78">
        <v>25</v>
      </c>
      <c r="B26" s="137" t="s">
        <v>239</v>
      </c>
      <c r="C26" s="76" t="s">
        <v>237</v>
      </c>
      <c r="D26" s="83" t="s">
        <v>244</v>
      </c>
      <c r="E26" s="80" t="s">
        <v>238</v>
      </c>
      <c r="F26" s="153"/>
    </row>
    <row r="27" spans="1:6" ht="30" x14ac:dyDescent="0.25">
      <c r="A27" s="78">
        <v>26</v>
      </c>
      <c r="B27" s="155" t="s">
        <v>246</v>
      </c>
      <c r="C27" s="76" t="s">
        <v>245</v>
      </c>
      <c r="D27" s="83" t="s">
        <v>244</v>
      </c>
      <c r="E27" s="80" t="s">
        <v>252</v>
      </c>
      <c r="F27" s="153"/>
    </row>
    <row r="28" spans="1:6" ht="30" x14ac:dyDescent="0.25">
      <c r="A28" s="78">
        <v>27</v>
      </c>
      <c r="B28" s="155" t="s">
        <v>249</v>
      </c>
      <c r="C28" s="76" t="s">
        <v>247</v>
      </c>
      <c r="D28" s="83" t="s">
        <v>244</v>
      </c>
      <c r="E28" s="80" t="s">
        <v>251</v>
      </c>
      <c r="F28" s="153"/>
    </row>
    <row r="35" spans="1:5" x14ac:dyDescent="0.25">
      <c r="A35" s="78" t="s">
        <v>255</v>
      </c>
      <c r="B35" s="73" t="s">
        <v>276</v>
      </c>
      <c r="C35" s="78"/>
      <c r="D35" s="156"/>
      <c r="E35" s="80" t="s">
        <v>84</v>
      </c>
    </row>
    <row r="37" spans="1:5" x14ac:dyDescent="0.25">
      <c r="A37" s="68">
        <v>6</v>
      </c>
      <c r="B37" s="68" t="s">
        <v>186</v>
      </c>
      <c r="E37" s="69" t="s">
        <v>257</v>
      </c>
    </row>
    <row r="38" spans="1:5" x14ac:dyDescent="0.25">
      <c r="A38" s="68">
        <v>21</v>
      </c>
      <c r="B38" s="68" t="s">
        <v>273</v>
      </c>
      <c r="E38" s="69" t="s">
        <v>274</v>
      </c>
    </row>
  </sheetData>
  <hyperlinks>
    <hyperlink ref="B2" r:id="rId1" location="Anzahl!A1" xr:uid="{8869395C-157F-4B18-960D-96E1A2A335EF}"/>
    <hyperlink ref="B5" r:id="rId2" location="EBF!A1" xr:uid="{A3E365C2-08FC-4C84-8AC0-5413649DB509}"/>
    <hyperlink ref="B4" r:id="rId3" location="NRF!A1" xr:uid="{488E598D-BE29-46EB-9CF7-040476C0A91F}"/>
    <hyperlink ref="B10" r:id="rId4" location="F_fl!A1" xr:uid="{0495726B-E452-4B32-A89C-08DD85A1AF9E}"/>
    <hyperlink ref="B11" r:id="rId5" xr:uid="{6D23320E-4CC0-48B3-BA1F-EE92FA59E515}"/>
    <hyperlink ref="B12" r:id="rId6" xr:uid="{9B54DBBD-99A7-42CC-8F2B-CD02093F26B0}"/>
    <hyperlink ref="B13" r:id="rId7" xr:uid="{E680B828-FDCD-4EF2-95B6-B863FA58636F}"/>
    <hyperlink ref="B14" r:id="rId8" xr:uid="{22C7B6EA-10E1-455A-ABAF-DAA866A80F4F}"/>
    <hyperlink ref="B15" r:id="rId9" xr:uid="{5070952A-A928-44CC-BAA1-A3D0CEEE0E1A}"/>
    <hyperlink ref="B16" r:id="rId10" xr:uid="{8F171B47-128C-4DDA-8ECF-78961CCC3B85}"/>
    <hyperlink ref="B3" location="Anzahl_fossil_elt!A1" display="Anzahl_NWG_fossil_elt" xr:uid="{2F2605D9-F10A-4BF4-A6DA-0447FACBB7F0}"/>
    <hyperlink ref="B6" location="EBF_fossil_elt!A1" display="EBF_fossil_elt" xr:uid="{96F8E61D-F677-4ADF-A228-BE2713D19D35}"/>
    <hyperlink ref="B7" location="maxP!A1" display="maximale Personenzahl" xr:uid="{45799AB1-F7AC-46E3-9E3E-66EFB6C5075A}"/>
    <hyperlink ref="B8" location="ober_BV!A1" display="oberirdisches Bruttovolumen" xr:uid="{BFFA84A8-B61F-48DA-9FBF-6FCAFC931F13}"/>
    <hyperlink ref="B9" location="HOEHE!A1" display="oberirdische Höhe" xr:uid="{C00D9F51-77E0-4D60-AC1B-2B030D39AA06}"/>
    <hyperlink ref="B17" location="U_AW_mfl!A1" display="U-Wert Außenwand" xr:uid="{42816948-DC4D-4607-8039-62224ACDE275}"/>
    <hyperlink ref="B18" location="U_Fen_mfl!A1" display="U-Wert Fenster" xr:uid="{5E5E4BB7-077A-4768-BAEB-C57CA0EF911E}"/>
    <hyperlink ref="B19" location="WUEOA_opak_fl!A1" display="U-Wert Dach" xr:uid="{91FBF73D-B3B8-4AEA-8489-2622EAA2080F}"/>
    <hyperlink ref="B20" location="WUEOA_transp_fl!A1" display="U-Wert Dachfenster" xr:uid="{287E87E8-059C-4615-AFF9-8915F231C63C}"/>
    <hyperlink ref="B21" location="U_ug_mfl!A1" display="U-Wert der unteren Gebäudeabschlusses" xr:uid="{5F2F3852-2791-4E6C-A79C-6B56BE2F0EBB}"/>
    <hyperlink ref="B23" location="e_Werz_mI!A1" display="Wärmeerzeuger-Aufwandszahl" xr:uid="{3CB7DFE1-67E4-4B20-9910-047ECFC01EC1}"/>
    <hyperlink ref="B24" location="e_Werz_elt_mI!A1" display="Wärmeerzeuger-Aufwandszahl, elektrisch" xr:uid="{0644E87C-7CC6-422C-AB62-51CE13F4604B}"/>
    <hyperlink ref="B25" location="e_Werz_fossil_mI!A1" display="Wärmeerzeuger-Aufwandszahl, fossil/FW" xr:uid="{2ED3C1EA-DD8E-40E7-875B-6C03A69729FA}"/>
    <hyperlink ref="B26" location="'q-d-spez_mI'!A1" display="spezifischer Nutzheizenergiebedarf" xr:uid="{8CE1E26E-03B3-4622-9F75-B75E8BC34034}"/>
    <hyperlink ref="B27" location="'q-d-spez-fossil_mI'!A1" display="spezifischer Nutzheizenergiebedarf, fossil/FW" xr:uid="{A1760DE9-3DAC-4346-96AD-4E97909EBDDF}"/>
    <hyperlink ref="B28" location="'q-d-spez-elt_mI'!A1" display="spezifischer Nutzheizenergiebedarf, fossil/FW" xr:uid="{2591DBBA-0A13-4018-9797-A79C29F6F9A4}"/>
    <hyperlink ref="B22" location="u_geb_mfl!A1" display="U-Wert des Gebäudes" xr:uid="{FA71FEA9-B000-45F0-B3BA-D6791F7198FB}"/>
  </hyperlinks>
  <pageMargins left="0.7" right="0.7" top="0.78740157499999996" bottom="0.78740157499999996" header="0.3" footer="0.3"/>
  <pageSetup paperSize="9" orientation="portrait"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62499-6BB4-4D6F-936E-39AF696FFB13}">
  <sheetPr codeName="Tabelle2"/>
  <dimension ref="A1:T25"/>
  <sheetViews>
    <sheetView workbookViewId="0">
      <selection activeCell="A25" sqref="A25"/>
    </sheetView>
  </sheetViews>
  <sheetFormatPr baseColWidth="10" defaultRowHeight="15" x14ac:dyDescent="0.25"/>
  <cols>
    <col min="1" max="1" width="66.42578125" customWidth="1"/>
  </cols>
  <sheetData>
    <row r="1" spans="1:20" s="4" customFormat="1" ht="36.75" customHeight="1" x14ac:dyDescent="0.25">
      <c r="A1" s="1" t="s">
        <v>41</v>
      </c>
      <c r="B1" s="2"/>
      <c r="C1" s="2"/>
      <c r="D1" s="2"/>
      <c r="E1" s="2"/>
      <c r="F1" s="2"/>
      <c r="G1" s="2"/>
      <c r="H1" s="2"/>
      <c r="I1" s="2"/>
      <c r="J1" s="2"/>
      <c r="K1" s="2"/>
      <c r="L1" s="2"/>
      <c r="M1" s="2"/>
      <c r="N1" s="2"/>
      <c r="O1" s="2"/>
      <c r="P1" s="2"/>
      <c r="Q1" s="3"/>
    </row>
    <row r="2" spans="1:20" s="4" customFormat="1" ht="36.75" customHeight="1" x14ac:dyDescent="0.25">
      <c r="A2" s="5" t="s">
        <v>86</v>
      </c>
      <c r="B2" s="6" t="s">
        <v>0</v>
      </c>
      <c r="C2" s="7"/>
      <c r="D2" s="7"/>
      <c r="E2" s="7"/>
      <c r="F2" s="7"/>
      <c r="G2" s="7"/>
      <c r="H2" s="7"/>
      <c r="I2" s="7"/>
      <c r="J2" s="7"/>
      <c r="K2" s="7"/>
      <c r="L2" s="7"/>
      <c r="M2" s="8"/>
      <c r="N2" s="9"/>
      <c r="O2" s="9"/>
      <c r="P2" s="7"/>
      <c r="Q2" s="10"/>
    </row>
    <row r="3" spans="1:20" s="4" customFormat="1" ht="50.25" customHeight="1" x14ac:dyDescent="0.25">
      <c r="A3" s="5" t="s">
        <v>85</v>
      </c>
      <c r="B3" s="11" t="s">
        <v>1</v>
      </c>
      <c r="C3" s="12"/>
      <c r="D3" s="12"/>
      <c r="E3" s="13"/>
      <c r="F3" s="11" t="s">
        <v>2</v>
      </c>
      <c r="G3" s="12"/>
      <c r="H3" s="12"/>
      <c r="I3" s="13"/>
      <c r="J3" s="11" t="s">
        <v>3</v>
      </c>
      <c r="K3" s="12"/>
      <c r="L3" s="12"/>
      <c r="M3" s="14"/>
      <c r="N3" s="15" t="s">
        <v>4</v>
      </c>
      <c r="O3" s="15"/>
      <c r="P3" s="12"/>
      <c r="Q3" s="16"/>
    </row>
    <row r="4" spans="1:20" s="4" customFormat="1" ht="50.25" customHeight="1" x14ac:dyDescent="0.25">
      <c r="A4" s="5" t="s">
        <v>5</v>
      </c>
      <c r="B4" s="17" t="s">
        <v>6</v>
      </c>
      <c r="C4" s="18" t="s">
        <v>7</v>
      </c>
      <c r="D4" s="18" t="s">
        <v>8</v>
      </c>
      <c r="E4" s="19" t="s">
        <v>9</v>
      </c>
      <c r="F4" s="17" t="s">
        <v>6</v>
      </c>
      <c r="G4" s="18" t="s">
        <v>7</v>
      </c>
      <c r="H4" s="18" t="s">
        <v>8</v>
      </c>
      <c r="I4" s="19" t="s">
        <v>9</v>
      </c>
      <c r="J4" s="17" t="s">
        <v>6</v>
      </c>
      <c r="K4" s="18" t="s">
        <v>7</v>
      </c>
      <c r="L4" s="18" t="s">
        <v>8</v>
      </c>
      <c r="M4" s="20" t="s">
        <v>9</v>
      </c>
      <c r="N4" s="17" t="s">
        <v>6</v>
      </c>
      <c r="O4" s="18" t="s">
        <v>7</v>
      </c>
      <c r="P4" s="18" t="s">
        <v>8</v>
      </c>
      <c r="Q4" s="19" t="s">
        <v>9</v>
      </c>
    </row>
    <row r="5" spans="1:20" s="4" customFormat="1" ht="19.5" customHeight="1" x14ac:dyDescent="0.25">
      <c r="A5" s="21" t="s">
        <v>10</v>
      </c>
      <c r="B5" s="22">
        <v>189.79822117198583</v>
      </c>
      <c r="C5" s="23">
        <v>31.479195877919814</v>
      </c>
      <c r="D5" s="24">
        <v>0.16585611647748222</v>
      </c>
      <c r="E5" s="25">
        <v>632</v>
      </c>
      <c r="F5" s="22">
        <v>106.22712088421028</v>
      </c>
      <c r="G5" s="23">
        <v>26.792878886444207</v>
      </c>
      <c r="H5" s="24">
        <v>0.25222258368132738</v>
      </c>
      <c r="I5" s="25">
        <v>351</v>
      </c>
      <c r="J5" s="22">
        <v>10.876345635410036</v>
      </c>
      <c r="K5" s="23">
        <v>5.527726079958283</v>
      </c>
      <c r="L5" s="24">
        <v>0.50823376391806707</v>
      </c>
      <c r="M5" s="25">
        <v>31</v>
      </c>
      <c r="N5" s="22">
        <v>306.9016865792097</v>
      </c>
      <c r="O5" s="23">
        <v>45.022035475012856</v>
      </c>
      <c r="P5" s="24">
        <v>0.14669855997481757</v>
      </c>
      <c r="Q5" s="25">
        <v>1014</v>
      </c>
      <c r="R5" s="26"/>
      <c r="S5" s="26"/>
      <c r="T5" s="26"/>
    </row>
    <row r="6" spans="1:20" s="4" customFormat="1" ht="19.5" customHeight="1" x14ac:dyDescent="0.25">
      <c r="A6" s="27" t="s">
        <v>11</v>
      </c>
      <c r="B6" s="28">
        <v>11.603699323738654</v>
      </c>
      <c r="C6" s="29">
        <v>7.1865759867405545</v>
      </c>
      <c r="D6" s="30">
        <v>0.61933490227882559</v>
      </c>
      <c r="E6" s="31">
        <v>63</v>
      </c>
      <c r="F6" s="28">
        <v>8.4224010819304187</v>
      </c>
      <c r="G6" s="29">
        <v>4.354374647597484</v>
      </c>
      <c r="H6" s="30">
        <v>0.51699920310604097</v>
      </c>
      <c r="I6" s="31">
        <v>51</v>
      </c>
      <c r="J6" s="28">
        <v>2.9411008250832094</v>
      </c>
      <c r="K6" s="29">
        <v>1.834308020536821</v>
      </c>
      <c r="L6" s="30">
        <v>0.6236807677223799</v>
      </c>
      <c r="M6" s="31">
        <v>16</v>
      </c>
      <c r="N6" s="28">
        <v>22.967199708468065</v>
      </c>
      <c r="O6" s="29">
        <v>9.3844816608268324</v>
      </c>
      <c r="P6" s="30">
        <v>0.40860365129174847</v>
      </c>
      <c r="Q6" s="31">
        <v>130</v>
      </c>
      <c r="R6" s="26"/>
      <c r="S6" s="26"/>
      <c r="T6" s="26"/>
    </row>
    <row r="7" spans="1:20" s="4" customFormat="1" ht="19.5" customHeight="1" x14ac:dyDescent="0.25">
      <c r="A7" s="27" t="s">
        <v>12</v>
      </c>
      <c r="B7" s="28">
        <v>24.266759942479275</v>
      </c>
      <c r="C7" s="29">
        <v>7.718960040858823</v>
      </c>
      <c r="D7" s="30">
        <v>0.31808779001215914</v>
      </c>
      <c r="E7" s="31">
        <v>110</v>
      </c>
      <c r="F7" s="28">
        <v>33.463428874127004</v>
      </c>
      <c r="G7" s="29">
        <v>12.213510520769033</v>
      </c>
      <c r="H7" s="30">
        <v>0.36498084421385102</v>
      </c>
      <c r="I7" s="31">
        <v>70</v>
      </c>
      <c r="J7" s="28">
        <v>5.1197989955217</v>
      </c>
      <c r="K7" s="29">
        <v>2.7854338021290004</v>
      </c>
      <c r="L7" s="30">
        <v>0.54405139822196646</v>
      </c>
      <c r="M7" s="31">
        <v>13</v>
      </c>
      <c r="N7" s="28">
        <v>62.849989721347356</v>
      </c>
      <c r="O7" s="29">
        <v>15.34345711193035</v>
      </c>
      <c r="P7" s="30">
        <v>0.2441282358192472</v>
      </c>
      <c r="Q7" s="31">
        <v>193</v>
      </c>
      <c r="R7" s="26"/>
      <c r="S7" s="26"/>
      <c r="T7" s="26"/>
    </row>
    <row r="8" spans="1:20" s="4" customFormat="1" ht="19.5" customHeight="1" x14ac:dyDescent="0.25">
      <c r="A8" s="27" t="s">
        <v>13</v>
      </c>
      <c r="B8" s="28">
        <v>86.908785009055919</v>
      </c>
      <c r="C8" s="29">
        <v>12.017131188277411</v>
      </c>
      <c r="D8" s="30">
        <v>0.13827291667954192</v>
      </c>
      <c r="E8" s="31">
        <v>806</v>
      </c>
      <c r="F8" s="28">
        <v>57.510919377903647</v>
      </c>
      <c r="G8" s="29">
        <v>27.28311698981836</v>
      </c>
      <c r="H8" s="30">
        <v>0.47439890172058086</v>
      </c>
      <c r="I8" s="31">
        <v>290</v>
      </c>
      <c r="J8" s="28">
        <v>9.1884934141615595</v>
      </c>
      <c r="K8" s="29">
        <v>5.734926778545594</v>
      </c>
      <c r="L8" s="30">
        <v>0.62414223094580079</v>
      </c>
      <c r="M8" s="31">
        <v>33</v>
      </c>
      <c r="N8" s="28">
        <v>153.60819804754371</v>
      </c>
      <c r="O8" s="29">
        <v>32.000648636244136</v>
      </c>
      <c r="P8" s="30">
        <v>0.20832643727999156</v>
      </c>
      <c r="Q8" s="31">
        <v>1129</v>
      </c>
      <c r="R8" s="26"/>
      <c r="S8" s="26"/>
      <c r="T8" s="26"/>
    </row>
    <row r="9" spans="1:20" s="4" customFormat="1" ht="19.5" customHeight="1" x14ac:dyDescent="0.25">
      <c r="A9" s="27" t="s">
        <v>14</v>
      </c>
      <c r="B9" s="28">
        <v>91.664496205985415</v>
      </c>
      <c r="C9" s="29">
        <v>17.889438238976574</v>
      </c>
      <c r="D9" s="30">
        <v>0.19516212906222735</v>
      </c>
      <c r="E9" s="31">
        <v>349</v>
      </c>
      <c r="F9" s="28">
        <v>41.125603874503142</v>
      </c>
      <c r="G9" s="29">
        <v>18.818970339116767</v>
      </c>
      <c r="H9" s="30">
        <v>0.45759742267964759</v>
      </c>
      <c r="I9" s="31">
        <v>132</v>
      </c>
      <c r="J9" s="28">
        <v>7.9350249744641905</v>
      </c>
      <c r="K9" s="29">
        <v>6.0420067471241374</v>
      </c>
      <c r="L9" s="30">
        <v>0.76143512674099956</v>
      </c>
      <c r="M9" s="31">
        <v>20</v>
      </c>
      <c r="N9" s="28">
        <v>140.72512362670076</v>
      </c>
      <c r="O9" s="29">
        <v>28.273056604328868</v>
      </c>
      <c r="P9" s="30">
        <v>0.20090980114772075</v>
      </c>
      <c r="Q9" s="31">
        <v>501</v>
      </c>
      <c r="R9" s="26"/>
      <c r="S9" s="26"/>
      <c r="T9" s="26"/>
    </row>
    <row r="10" spans="1:20" s="4" customFormat="1" ht="19.5" customHeight="1" x14ac:dyDescent="0.25">
      <c r="A10" s="27" t="s">
        <v>15</v>
      </c>
      <c r="B10" s="28">
        <v>51.486476002598025</v>
      </c>
      <c r="C10" s="29">
        <v>14.433926327987313</v>
      </c>
      <c r="D10" s="30">
        <v>0.28034403300895894</v>
      </c>
      <c r="E10" s="31">
        <v>231</v>
      </c>
      <c r="F10" s="28">
        <v>22.407649642726771</v>
      </c>
      <c r="G10" s="29">
        <v>6.2146940584006831</v>
      </c>
      <c r="H10" s="30">
        <v>0.27734698451150996</v>
      </c>
      <c r="I10" s="31">
        <v>134</v>
      </c>
      <c r="J10" s="28">
        <v>4.2927150846800295</v>
      </c>
      <c r="K10" s="29">
        <v>3.6826314518869485</v>
      </c>
      <c r="L10" s="30">
        <v>0.85787930930464829</v>
      </c>
      <c r="M10" s="31">
        <v>11</v>
      </c>
      <c r="N10" s="28">
        <v>78.186839803553497</v>
      </c>
      <c r="O10" s="29">
        <v>16.922733381885084</v>
      </c>
      <c r="P10" s="30">
        <v>0.21643966458298991</v>
      </c>
      <c r="Q10" s="31">
        <v>376</v>
      </c>
      <c r="R10" s="26"/>
      <c r="S10" s="26"/>
      <c r="T10" s="26"/>
    </row>
    <row r="11" spans="1:20" s="4" customFormat="1" ht="19.5" customHeight="1" x14ac:dyDescent="0.25">
      <c r="A11" s="27" t="s">
        <v>16</v>
      </c>
      <c r="B11" s="28">
        <v>201.61424628997304</v>
      </c>
      <c r="C11" s="29">
        <v>50.712964366714047</v>
      </c>
      <c r="D11" s="30">
        <v>0.25153462763626233</v>
      </c>
      <c r="E11" s="31">
        <v>227</v>
      </c>
      <c r="F11" s="28">
        <v>66.646808644790411</v>
      </c>
      <c r="G11" s="29">
        <v>32.402725512690267</v>
      </c>
      <c r="H11" s="30">
        <v>0.48618570298524105</v>
      </c>
      <c r="I11" s="31">
        <v>115</v>
      </c>
      <c r="J11" s="28">
        <v>1.507731390624629</v>
      </c>
      <c r="K11" s="29">
        <v>0.54928301897044629</v>
      </c>
      <c r="L11" s="30">
        <v>0.36431092592884673</v>
      </c>
      <c r="M11" s="31">
        <v>11</v>
      </c>
      <c r="N11" s="28">
        <v>269.76878561547289</v>
      </c>
      <c r="O11" s="29">
        <v>57.776538270627064</v>
      </c>
      <c r="P11" s="30">
        <v>0.21417058366782826</v>
      </c>
      <c r="Q11" s="31">
        <v>353</v>
      </c>
      <c r="R11" s="26"/>
      <c r="S11" s="26"/>
      <c r="T11" s="26"/>
    </row>
    <row r="12" spans="1:20" s="4" customFormat="1" ht="19.5" customHeight="1" x14ac:dyDescent="0.25">
      <c r="A12" s="27" t="s">
        <v>17</v>
      </c>
      <c r="B12" s="28">
        <v>365.2097814200132</v>
      </c>
      <c r="C12" s="29">
        <v>65.559761692652543</v>
      </c>
      <c r="D12" s="30">
        <v>0.17951261173165259</v>
      </c>
      <c r="E12" s="31">
        <v>501</v>
      </c>
      <c r="F12" s="28">
        <v>271.13488202487321</v>
      </c>
      <c r="G12" s="29">
        <v>46.366975595769972</v>
      </c>
      <c r="H12" s="30">
        <v>0.17101073550365381</v>
      </c>
      <c r="I12" s="31">
        <v>521</v>
      </c>
      <c r="J12" s="28">
        <v>30.106220351640566</v>
      </c>
      <c r="K12" s="29">
        <v>11.356923028616283</v>
      </c>
      <c r="L12" s="30">
        <v>0.37722845631126906</v>
      </c>
      <c r="M12" s="31">
        <v>64</v>
      </c>
      <c r="N12" s="28">
        <v>666.45088401214002</v>
      </c>
      <c r="O12" s="29">
        <v>82.359694382184571</v>
      </c>
      <c r="P12" s="30">
        <v>0.12357954105539803</v>
      </c>
      <c r="Q12" s="31">
        <v>1086</v>
      </c>
      <c r="R12" s="26"/>
      <c r="S12" s="26"/>
      <c r="T12" s="26"/>
    </row>
    <row r="13" spans="1:20" s="4" customFormat="1" ht="19.5" customHeight="1" x14ac:dyDescent="0.25">
      <c r="A13" s="27" t="s">
        <v>18</v>
      </c>
      <c r="B13" s="28">
        <v>93.484277671861818</v>
      </c>
      <c r="C13" s="29">
        <v>24.739018247230582</v>
      </c>
      <c r="D13" s="30">
        <v>0.26463292933670357</v>
      </c>
      <c r="E13" s="31">
        <v>104</v>
      </c>
      <c r="F13" s="28">
        <v>90.136864718533971</v>
      </c>
      <c r="G13" s="29">
        <v>25.641349253574234</v>
      </c>
      <c r="H13" s="30">
        <v>0.28447127968831881</v>
      </c>
      <c r="I13" s="31">
        <v>126</v>
      </c>
      <c r="J13" s="28">
        <v>3.4731036126647492</v>
      </c>
      <c r="K13" s="29">
        <v>1.1195513968001995</v>
      </c>
      <c r="L13" s="30">
        <v>0.32234897706988375</v>
      </c>
      <c r="M13" s="31">
        <v>14</v>
      </c>
      <c r="N13" s="28">
        <v>187.09424659956102</v>
      </c>
      <c r="O13" s="29">
        <v>38.702303494913821</v>
      </c>
      <c r="P13" s="30">
        <v>0.20685993395482974</v>
      </c>
      <c r="Q13" s="31">
        <v>244</v>
      </c>
      <c r="R13" s="26"/>
      <c r="S13" s="26"/>
      <c r="T13" s="26"/>
    </row>
    <row r="14" spans="1:20" s="4" customFormat="1" ht="19.5" customHeight="1" x14ac:dyDescent="0.25">
      <c r="A14" s="27" t="s">
        <v>19</v>
      </c>
      <c r="B14" s="32">
        <v>16.745230381609147</v>
      </c>
      <c r="C14" s="33">
        <v>7.1807068940925998</v>
      </c>
      <c r="D14" s="30">
        <v>0.4288210272686952</v>
      </c>
      <c r="E14" s="31">
        <v>26</v>
      </c>
      <c r="F14" s="32">
        <v>52.792643653726991</v>
      </c>
      <c r="G14" s="33">
        <v>25.260954156931223</v>
      </c>
      <c r="H14" s="30">
        <v>0.47849382809129093</v>
      </c>
      <c r="I14" s="31">
        <v>25</v>
      </c>
      <c r="J14" s="32">
        <v>0.15487535547940001</v>
      </c>
      <c r="K14" s="33">
        <v>0.15513421305059885</v>
      </c>
      <c r="L14" s="30">
        <v>1.0016713929107544</v>
      </c>
      <c r="M14" s="31">
        <v>1</v>
      </c>
      <c r="N14" s="32">
        <v>69.692686991047083</v>
      </c>
      <c r="O14" s="33">
        <v>26.114501093472388</v>
      </c>
      <c r="P14" s="30">
        <v>0.37470934499665842</v>
      </c>
      <c r="Q14" s="31">
        <v>52</v>
      </c>
      <c r="R14" s="26"/>
      <c r="S14" s="26"/>
      <c r="T14" s="26"/>
    </row>
    <row r="15" spans="1:20" s="4" customFormat="1" ht="19.5" customHeight="1" thickBot="1" x14ac:dyDescent="0.3">
      <c r="A15" s="27" t="s">
        <v>20</v>
      </c>
      <c r="B15" s="32">
        <v>13.391505564369357</v>
      </c>
      <c r="C15" s="34">
        <v>6.6903539401907883</v>
      </c>
      <c r="D15" s="30">
        <v>0.49959684577899477</v>
      </c>
      <c r="E15" s="31">
        <v>15</v>
      </c>
      <c r="F15" s="32">
        <v>7.3888001929223233</v>
      </c>
      <c r="G15" s="34">
        <v>5.8026851036490195</v>
      </c>
      <c r="H15" s="30">
        <v>0.7853352306383069</v>
      </c>
      <c r="I15" s="31">
        <v>9</v>
      </c>
      <c r="J15" s="32">
        <v>1.4773207629598442</v>
      </c>
      <c r="K15" s="34">
        <v>1.4866754733363432</v>
      </c>
      <c r="L15" s="30">
        <v>1.0063322134305868</v>
      </c>
      <c r="M15" s="31">
        <v>1</v>
      </c>
      <c r="N15" s="32">
        <v>22.25762591946404</v>
      </c>
      <c r="O15" s="34">
        <v>8.5196093192504367</v>
      </c>
      <c r="P15" s="30">
        <v>0.38277259893204224</v>
      </c>
      <c r="Q15" s="31">
        <v>25</v>
      </c>
      <c r="R15" s="26"/>
      <c r="S15" s="26"/>
      <c r="T15" s="26"/>
    </row>
    <row r="16" spans="1:20" s="4" customFormat="1" ht="24.75" customHeight="1" thickTop="1" x14ac:dyDescent="0.25">
      <c r="A16" s="35" t="s">
        <v>4</v>
      </c>
      <c r="B16" s="36">
        <v>1146.1734762006786</v>
      </c>
      <c r="C16" s="37">
        <v>109.7817049169239</v>
      </c>
      <c r="D16" s="38">
        <v>9.5781055133841442E-2</v>
      </c>
      <c r="E16" s="39">
        <v>3064</v>
      </c>
      <c r="F16" s="36">
        <v>757.25712514488623</v>
      </c>
      <c r="G16" s="37">
        <v>87.388458456289499</v>
      </c>
      <c r="H16" s="38">
        <v>0.11540130235099398</v>
      </c>
      <c r="I16" s="39">
        <v>1824</v>
      </c>
      <c r="J16" s="36">
        <v>77.072665278946204</v>
      </c>
      <c r="K16" s="37">
        <v>16.329198455632486</v>
      </c>
      <c r="L16" s="38">
        <v>0.21186757194049061</v>
      </c>
      <c r="M16" s="39">
        <v>215</v>
      </c>
      <c r="N16" s="36">
        <v>1980.5032670000001</v>
      </c>
      <c r="O16" s="37">
        <v>152.1445358</v>
      </c>
      <c r="P16" s="38">
        <v>7.6821148611617013E-2</v>
      </c>
      <c r="Q16" s="39">
        <v>5107</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21</v>
      </c>
      <c r="B18" s="17" t="s">
        <v>6</v>
      </c>
      <c r="C18" s="18" t="s">
        <v>7</v>
      </c>
      <c r="D18" s="18" t="s">
        <v>8</v>
      </c>
      <c r="E18" s="19" t="s">
        <v>9</v>
      </c>
      <c r="F18" s="17" t="s">
        <v>6</v>
      </c>
      <c r="G18" s="18" t="s">
        <v>7</v>
      </c>
      <c r="H18" s="18" t="s">
        <v>8</v>
      </c>
      <c r="I18" s="19" t="s">
        <v>9</v>
      </c>
      <c r="J18" s="17" t="s">
        <v>6</v>
      </c>
      <c r="K18" s="18" t="s">
        <v>7</v>
      </c>
      <c r="L18" s="18" t="s">
        <v>8</v>
      </c>
      <c r="M18" s="20" t="s">
        <v>9</v>
      </c>
      <c r="N18" s="17" t="s">
        <v>6</v>
      </c>
      <c r="O18" s="18" t="s">
        <v>7</v>
      </c>
      <c r="P18" s="18" t="s">
        <v>8</v>
      </c>
      <c r="Q18" s="19" t="s">
        <v>9</v>
      </c>
    </row>
    <row r="19" spans="1:20" s="4" customFormat="1" ht="19.5" customHeight="1" x14ac:dyDescent="0.25">
      <c r="A19" s="42" t="s">
        <v>22</v>
      </c>
      <c r="B19" s="32">
        <v>750.82695974502508</v>
      </c>
      <c r="C19" s="33">
        <v>83.585598495333258</v>
      </c>
      <c r="D19" s="24">
        <v>0.11132471658145876</v>
      </c>
      <c r="E19" s="25">
        <v>2522</v>
      </c>
      <c r="F19" s="32">
        <v>425.94079775724299</v>
      </c>
      <c r="G19" s="33">
        <v>62.547464703426058</v>
      </c>
      <c r="H19" s="24">
        <v>0.14684544197870855</v>
      </c>
      <c r="I19" s="25">
        <v>1269</v>
      </c>
      <c r="J19" s="32">
        <v>45.334312431292773</v>
      </c>
      <c r="K19" s="33">
        <v>46.673407424427118</v>
      </c>
      <c r="L19" s="24">
        <v>1.0295382221835576</v>
      </c>
      <c r="M19" s="25">
        <v>149</v>
      </c>
      <c r="N19" s="32">
        <v>1222.1020699335597</v>
      </c>
      <c r="O19" s="33">
        <v>114.74549436102869</v>
      </c>
      <c r="P19" s="24">
        <v>9.3891907381571563E-2</v>
      </c>
      <c r="Q19" s="25">
        <v>3940</v>
      </c>
      <c r="R19" s="26"/>
      <c r="S19" s="26"/>
      <c r="T19" s="26"/>
    </row>
    <row r="20" spans="1:20" s="4" customFormat="1" ht="19.5" customHeight="1" thickBot="1" x14ac:dyDescent="0.3">
      <c r="A20" s="43" t="s">
        <v>23</v>
      </c>
      <c r="B20" s="32">
        <v>395.34651667296021</v>
      </c>
      <c r="C20" s="34">
        <v>66.458319654131515</v>
      </c>
      <c r="D20" s="30">
        <v>0.16810144228261248</v>
      </c>
      <c r="E20" s="31">
        <v>542</v>
      </c>
      <c r="F20" s="32">
        <v>331.31632753121397</v>
      </c>
      <c r="G20" s="34">
        <v>53.51419071465061</v>
      </c>
      <c r="H20" s="30">
        <v>0.16151993206434698</v>
      </c>
      <c r="I20" s="31">
        <v>555</v>
      </c>
      <c r="J20" s="32">
        <v>31.738352862265895</v>
      </c>
      <c r="K20" s="34">
        <v>11.468855068362428</v>
      </c>
      <c r="L20" s="30">
        <v>0.36135634127371136</v>
      </c>
      <c r="M20" s="31">
        <v>66</v>
      </c>
      <c r="N20" s="32">
        <v>758.4011970664385</v>
      </c>
      <c r="O20" s="34">
        <v>87.981038461474682</v>
      </c>
      <c r="P20" s="30">
        <v>0.11600857013648311</v>
      </c>
      <c r="Q20" s="31">
        <v>1163</v>
      </c>
      <c r="R20" s="26"/>
      <c r="S20" s="26"/>
      <c r="T20" s="26"/>
    </row>
    <row r="21" spans="1:20" s="4" customFormat="1" ht="24.75" customHeight="1" thickTop="1" x14ac:dyDescent="0.25">
      <c r="A21" s="35" t="s">
        <v>24</v>
      </c>
      <c r="B21" s="36">
        <v>1146.1734762006786</v>
      </c>
      <c r="C21" s="37">
        <v>109.7817049169239</v>
      </c>
      <c r="D21" s="38">
        <v>9.5781055133841442E-2</v>
      </c>
      <c r="E21" s="39">
        <v>3064</v>
      </c>
      <c r="F21" s="36">
        <v>757.25712514488623</v>
      </c>
      <c r="G21" s="37">
        <v>87.388458456289499</v>
      </c>
      <c r="H21" s="38">
        <v>0.11540130235099398</v>
      </c>
      <c r="I21" s="39">
        <v>1824</v>
      </c>
      <c r="J21" s="36">
        <v>77.072665278946204</v>
      </c>
      <c r="K21" s="37">
        <v>16.329198455632486</v>
      </c>
      <c r="L21" s="38">
        <v>0.21186757194049061</v>
      </c>
      <c r="M21" s="39">
        <v>215</v>
      </c>
      <c r="N21" s="36">
        <v>1980.5032670000001</v>
      </c>
      <c r="O21" s="37">
        <v>152.1445358</v>
      </c>
      <c r="P21" s="38">
        <v>7.6821148611617013E-2</v>
      </c>
      <c r="Q21" s="39">
        <v>5107</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25</v>
      </c>
      <c r="B23" s="44" t="s">
        <v>26</v>
      </c>
      <c r="C23" s="4" t="s">
        <v>27</v>
      </c>
    </row>
    <row r="24" spans="1:20" x14ac:dyDescent="0.25">
      <c r="B24" s="45" t="s">
        <v>28</v>
      </c>
      <c r="C24" s="4" t="s">
        <v>29</v>
      </c>
    </row>
    <row r="25" spans="1:20" x14ac:dyDescent="0.25">
      <c r="A25" s="154" t="s">
        <v>240</v>
      </c>
    </row>
  </sheetData>
  <conditionalFormatting sqref="M5:M16">
    <cfRule type="expression" dxfId="1571" priority="56">
      <formula>M5&lt;=1</formula>
    </cfRule>
  </conditionalFormatting>
  <conditionalFormatting sqref="E19:E21">
    <cfRule type="expression" dxfId="1570" priority="47">
      <formula>E19&lt;=1</formula>
    </cfRule>
  </conditionalFormatting>
  <conditionalFormatting sqref="J5:J16">
    <cfRule type="expression" dxfId="1569" priority="50">
      <formula>OR(L5&gt;=0.5,M5&lt;=5)</formula>
    </cfRule>
    <cfRule type="expression" dxfId="1568" priority="53">
      <formula>M5&lt;=1</formula>
    </cfRule>
  </conditionalFormatting>
  <conditionalFormatting sqref="K5:K16">
    <cfRule type="expression" dxfId="1567" priority="51">
      <formula>OR(L5&gt;=0.5,M5&lt;=5)</formula>
    </cfRule>
    <cfRule type="expression" dxfId="1566" priority="54">
      <formula>M5&lt;=1</formula>
    </cfRule>
  </conditionalFormatting>
  <conditionalFormatting sqref="L5:L16">
    <cfRule type="expression" dxfId="1565" priority="52">
      <formula>OR(L5&gt;=0.5,M5&lt;=5)</formula>
    </cfRule>
    <cfRule type="expression" dxfId="1564" priority="55">
      <formula>M5&lt;=1</formula>
    </cfRule>
  </conditionalFormatting>
  <conditionalFormatting sqref="Q5:Q16">
    <cfRule type="expression" dxfId="1563" priority="42">
      <formula>Q5&lt;=1</formula>
    </cfRule>
  </conditionalFormatting>
  <conditionalFormatting sqref="N5:N16">
    <cfRule type="expression" dxfId="1562" priority="36">
      <formula>OR(P5&gt;=0.5,Q5&lt;=5)</formula>
    </cfRule>
    <cfRule type="expression" dxfId="1561" priority="39">
      <formula>Q5&lt;=1</formula>
    </cfRule>
  </conditionalFormatting>
  <conditionalFormatting sqref="O5:O16">
    <cfRule type="expression" dxfId="1560" priority="37">
      <formula>OR(P5&gt;=0.5,Q5&lt;=5)</formula>
    </cfRule>
    <cfRule type="expression" dxfId="1559" priority="40">
      <formula>Q5&lt;=1</formula>
    </cfRule>
  </conditionalFormatting>
  <conditionalFormatting sqref="P5:P16">
    <cfRule type="expression" dxfId="1558" priority="38">
      <formula>OR(P5&gt;=0.5,Q5&lt;=5)</formula>
    </cfRule>
    <cfRule type="expression" dxfId="1557" priority="41">
      <formula>Q5&lt;=1</formula>
    </cfRule>
  </conditionalFormatting>
  <conditionalFormatting sqref="E5:E16">
    <cfRule type="expression" dxfId="1556" priority="35">
      <formula>E5&lt;=1</formula>
    </cfRule>
  </conditionalFormatting>
  <conditionalFormatting sqref="B5:B16">
    <cfRule type="expression" dxfId="1555" priority="29">
      <formula>OR(D5&gt;=0.5,E5&lt;=5)</formula>
    </cfRule>
    <cfRule type="expression" dxfId="1554" priority="32">
      <formula>E5&lt;=1</formula>
    </cfRule>
  </conditionalFormatting>
  <conditionalFormatting sqref="C5:C16">
    <cfRule type="expression" dxfId="1553" priority="30">
      <formula>OR(D5&gt;=0.5,E5&lt;=5)</formula>
    </cfRule>
    <cfRule type="expression" dxfId="1552" priority="33">
      <formula>E5&lt;=1</formula>
    </cfRule>
  </conditionalFormatting>
  <conditionalFormatting sqref="D5:D16">
    <cfRule type="expression" dxfId="1551" priority="31">
      <formula>OR(D5&gt;=0.5,E5&lt;=5)</formula>
    </cfRule>
    <cfRule type="expression" dxfId="1550" priority="34">
      <formula>E5&lt;=1</formula>
    </cfRule>
  </conditionalFormatting>
  <conditionalFormatting sqref="I5:I16">
    <cfRule type="expression" dxfId="1549" priority="28">
      <formula>I5&lt;=1</formula>
    </cfRule>
  </conditionalFormatting>
  <conditionalFormatting sqref="F5:F16">
    <cfRule type="expression" dxfId="1548" priority="22">
      <formula>OR(H5&gt;=0.5,I5&lt;=5)</formula>
    </cfRule>
    <cfRule type="expression" dxfId="1547" priority="25">
      <formula>I5&lt;=1</formula>
    </cfRule>
  </conditionalFormatting>
  <conditionalFormatting sqref="G5:G16">
    <cfRule type="expression" dxfId="1546" priority="23">
      <formula>OR(H5&gt;=0.5,I5&lt;=5)</formula>
    </cfRule>
    <cfRule type="expression" dxfId="1545" priority="26">
      <formula>I5&lt;=1</formula>
    </cfRule>
  </conditionalFormatting>
  <conditionalFormatting sqref="H5:H16">
    <cfRule type="expression" dxfId="1544" priority="24">
      <formula>OR(H5&gt;=0.5,I5&lt;=5)</formula>
    </cfRule>
    <cfRule type="expression" dxfId="1543" priority="27">
      <formula>I5&lt;=1</formula>
    </cfRule>
  </conditionalFormatting>
  <conditionalFormatting sqref="B19:B21">
    <cfRule type="expression" dxfId="1542" priority="43">
      <formula>OR(D19&gt;=0.5,E19&lt;=5)</formula>
    </cfRule>
    <cfRule type="expression" dxfId="1541" priority="45">
      <formula>E19&lt;=1</formula>
    </cfRule>
  </conditionalFormatting>
  <conditionalFormatting sqref="C19:C21">
    <cfRule type="expression" dxfId="1540" priority="44">
      <formula>OR(D19&gt;=0.5,E19&lt;=5)</formula>
    </cfRule>
    <cfRule type="expression" dxfId="1539" priority="46">
      <formula>E19&lt;=1</formula>
    </cfRule>
  </conditionalFormatting>
  <conditionalFormatting sqref="D19:D21">
    <cfRule type="expression" dxfId="1538" priority="48">
      <formula>OR(D19&gt;=0.5,E19&lt;=5)</formula>
    </cfRule>
    <cfRule type="expression" dxfId="1537" priority="49">
      <formula>E19&lt;=1</formula>
    </cfRule>
  </conditionalFormatting>
  <conditionalFormatting sqref="I19:I21">
    <cfRule type="expression" dxfId="1536" priority="19">
      <formula>I19&lt;=1</formula>
    </cfRule>
  </conditionalFormatting>
  <conditionalFormatting sqref="F19:F21">
    <cfRule type="expression" dxfId="1535" priority="15">
      <formula>OR(H19&gt;=0.5,I19&lt;=5)</formula>
    </cfRule>
    <cfRule type="expression" dxfId="1534" priority="17">
      <formula>I19&lt;=1</formula>
    </cfRule>
  </conditionalFormatting>
  <conditionalFormatting sqref="G19:G21">
    <cfRule type="expression" dxfId="1533" priority="16">
      <formula>OR(H19&gt;=0.5,I19&lt;=5)</formula>
    </cfRule>
    <cfRule type="expression" dxfId="1532" priority="18">
      <formula>I19&lt;=1</formula>
    </cfRule>
  </conditionalFormatting>
  <conditionalFormatting sqref="H19:H21">
    <cfRule type="expression" dxfId="1531" priority="20">
      <formula>OR(H19&gt;=0.5,I19&lt;=5)</formula>
    </cfRule>
    <cfRule type="expression" dxfId="1530" priority="21">
      <formula>I19&lt;=1</formula>
    </cfRule>
  </conditionalFormatting>
  <conditionalFormatting sqref="M19:M21">
    <cfRule type="expression" dxfId="1529" priority="12">
      <formula>M19&lt;=1</formula>
    </cfRule>
  </conditionalFormatting>
  <conditionalFormatting sqref="J19:J21">
    <cfRule type="expression" dxfId="1528" priority="8">
      <formula>OR(L19&gt;=0.5,M19&lt;=5)</formula>
    </cfRule>
    <cfRule type="expression" dxfId="1527" priority="10">
      <formula>M19&lt;=1</formula>
    </cfRule>
  </conditionalFormatting>
  <conditionalFormatting sqref="K19:K21">
    <cfRule type="expression" dxfId="1526" priority="9">
      <formula>OR(L19&gt;=0.5,M19&lt;=5)</formula>
    </cfRule>
    <cfRule type="expression" dxfId="1525" priority="11">
      <formula>M19&lt;=1</formula>
    </cfRule>
  </conditionalFormatting>
  <conditionalFormatting sqref="L19:L21">
    <cfRule type="expression" dxfId="1524" priority="13">
      <formula>OR(L19&gt;=0.5,M19&lt;=5)</formula>
    </cfRule>
    <cfRule type="expression" dxfId="1523" priority="14">
      <formula>M19&lt;=1</formula>
    </cfRule>
  </conditionalFormatting>
  <conditionalFormatting sqref="Q19:Q21">
    <cfRule type="expression" dxfId="1522" priority="5">
      <formula>Q19&lt;=1</formula>
    </cfRule>
  </conditionalFormatting>
  <conditionalFormatting sqref="N19:N21">
    <cfRule type="expression" dxfId="1521" priority="1">
      <formula>OR(P19&gt;=0.5,Q19&lt;=5)</formula>
    </cfRule>
    <cfRule type="expression" dxfId="1520" priority="3">
      <formula>Q19&lt;=1</formula>
    </cfRule>
  </conditionalFormatting>
  <conditionalFormatting sqref="O19:O21">
    <cfRule type="expression" dxfId="1519" priority="2">
      <formula>OR(P19&gt;=0.5,Q19&lt;=5)</formula>
    </cfRule>
    <cfRule type="expression" dxfId="1518" priority="4">
      <formula>Q19&lt;=1</formula>
    </cfRule>
  </conditionalFormatting>
  <conditionalFormatting sqref="P19:P21">
    <cfRule type="expression" dxfId="1517" priority="6">
      <formula>OR(P19&gt;=0.5,Q19&lt;=5)</formula>
    </cfRule>
    <cfRule type="expression" dxfId="1516" priority="7">
      <formula>Q19&lt;=1</formula>
    </cfRule>
  </conditionalFormatting>
  <hyperlinks>
    <hyperlink ref="A25" location="Überblick!A1" display="zurück zur Übersicht" xr:uid="{57F528CD-9B2D-4CAB-8A46-EDC0DE93740D}"/>
  </hyperlink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4046A-32D0-4E34-916C-65D54779194B}">
  <dimension ref="A1:AN25"/>
  <sheetViews>
    <sheetView topLeftCell="A3" zoomScaleNormal="100" workbookViewId="0">
      <selection activeCell="A25" sqref="A25"/>
    </sheetView>
  </sheetViews>
  <sheetFormatPr baseColWidth="10" defaultRowHeight="15" x14ac:dyDescent="0.25"/>
  <cols>
    <col min="1" max="1" width="73" customWidth="1"/>
  </cols>
  <sheetData>
    <row r="1" spans="1:40" s="1" customFormat="1" ht="36.75" customHeight="1" thickBot="1" x14ac:dyDescent="0.3">
      <c r="A1" s="93" t="s">
        <v>154</v>
      </c>
      <c r="B1" s="94"/>
      <c r="C1" s="94"/>
      <c r="D1" s="94"/>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94"/>
      <c r="AN1" s="94"/>
    </row>
    <row r="2" spans="1:40" s="4" customFormat="1" ht="36.75" customHeight="1" x14ac:dyDescent="0.25">
      <c r="A2" s="95" t="s">
        <v>167</v>
      </c>
      <c r="B2" s="164" t="s">
        <v>143</v>
      </c>
      <c r="C2" s="165"/>
      <c r="D2" s="165"/>
      <c r="E2" s="165"/>
      <c r="F2" s="165"/>
      <c r="G2" s="165"/>
      <c r="H2" s="165"/>
      <c r="I2" s="165"/>
      <c r="J2" s="165"/>
      <c r="K2" s="165"/>
      <c r="L2" s="165"/>
      <c r="M2" s="165"/>
      <c r="N2" s="165"/>
      <c r="O2" s="165"/>
      <c r="P2" s="165"/>
      <c r="Q2" s="166"/>
      <c r="R2" s="164" t="s">
        <v>144</v>
      </c>
      <c r="S2" s="165"/>
      <c r="T2" s="165"/>
      <c r="U2" s="165"/>
      <c r="V2" s="165"/>
      <c r="W2" s="165"/>
      <c r="X2" s="165"/>
      <c r="Y2" s="165"/>
      <c r="Z2" s="165"/>
      <c r="AA2" s="165"/>
      <c r="AB2" s="165"/>
      <c r="AC2" s="165"/>
      <c r="AD2" s="165"/>
      <c r="AE2" s="165"/>
      <c r="AF2" s="165"/>
      <c r="AG2" s="166"/>
      <c r="AH2" s="96"/>
      <c r="AI2" s="97"/>
      <c r="AJ2" s="97"/>
      <c r="AK2" s="98"/>
    </row>
    <row r="3" spans="1:40" s="4" customFormat="1" ht="50.25" customHeight="1" x14ac:dyDescent="0.25">
      <c r="A3" s="99" t="s">
        <v>168</v>
      </c>
      <c r="B3" s="100" t="s">
        <v>145</v>
      </c>
      <c r="C3" s="12"/>
      <c r="D3" s="12"/>
      <c r="E3" s="13"/>
      <c r="F3" s="11" t="s">
        <v>146</v>
      </c>
      <c r="G3" s="12"/>
      <c r="H3" s="12"/>
      <c r="I3" s="13"/>
      <c r="J3" s="11" t="s">
        <v>147</v>
      </c>
      <c r="K3" s="12"/>
      <c r="L3" s="12"/>
      <c r="M3" s="13"/>
      <c r="N3" s="11" t="s">
        <v>148</v>
      </c>
      <c r="O3" s="12"/>
      <c r="P3" s="12"/>
      <c r="Q3" s="101"/>
      <c r="R3" s="100" t="s">
        <v>149</v>
      </c>
      <c r="S3" s="12"/>
      <c r="T3" s="12"/>
      <c r="U3" s="13"/>
      <c r="V3" s="11" t="s">
        <v>150</v>
      </c>
      <c r="W3" s="12"/>
      <c r="X3" s="12"/>
      <c r="Y3" s="13"/>
      <c r="Z3" s="11" t="s">
        <v>151</v>
      </c>
      <c r="AA3" s="12"/>
      <c r="AB3" s="12"/>
      <c r="AC3" s="13"/>
      <c r="AD3" s="11" t="s">
        <v>152</v>
      </c>
      <c r="AE3" s="12"/>
      <c r="AF3" s="12"/>
      <c r="AG3" s="101"/>
      <c r="AH3" s="102" t="s">
        <v>24</v>
      </c>
      <c r="AI3" s="15"/>
      <c r="AJ3" s="12"/>
      <c r="AK3" s="103"/>
    </row>
    <row r="4" spans="1:40" s="4" customFormat="1" ht="60" customHeight="1" x14ac:dyDescent="0.25">
      <c r="A4" s="104" t="s">
        <v>5</v>
      </c>
      <c r="B4" s="105" t="s">
        <v>6</v>
      </c>
      <c r="C4" s="18" t="s">
        <v>7</v>
      </c>
      <c r="D4" s="18" t="s">
        <v>8</v>
      </c>
      <c r="E4" s="19" t="s">
        <v>9</v>
      </c>
      <c r="F4" s="17" t="s">
        <v>6</v>
      </c>
      <c r="G4" s="18" t="s">
        <v>7</v>
      </c>
      <c r="H4" s="18" t="s">
        <v>8</v>
      </c>
      <c r="I4" s="19" t="s">
        <v>9</v>
      </c>
      <c r="J4" s="17" t="s">
        <v>6</v>
      </c>
      <c r="K4" s="18" t="s">
        <v>7</v>
      </c>
      <c r="L4" s="18" t="s">
        <v>8</v>
      </c>
      <c r="M4" s="19" t="s">
        <v>9</v>
      </c>
      <c r="N4" s="17" t="s">
        <v>6</v>
      </c>
      <c r="O4" s="18" t="s">
        <v>7</v>
      </c>
      <c r="P4" s="18" t="s">
        <v>8</v>
      </c>
      <c r="Q4" s="106" t="s">
        <v>9</v>
      </c>
      <c r="R4" s="105" t="s">
        <v>6</v>
      </c>
      <c r="S4" s="18" t="s">
        <v>7</v>
      </c>
      <c r="T4" s="18" t="s">
        <v>8</v>
      </c>
      <c r="U4" s="19" t="s">
        <v>9</v>
      </c>
      <c r="V4" s="17" t="s">
        <v>6</v>
      </c>
      <c r="W4" s="18" t="s">
        <v>7</v>
      </c>
      <c r="X4" s="18" t="s">
        <v>8</v>
      </c>
      <c r="Y4" s="19" t="s">
        <v>9</v>
      </c>
      <c r="Z4" s="17" t="s">
        <v>6</v>
      </c>
      <c r="AA4" s="18" t="s">
        <v>7</v>
      </c>
      <c r="AB4" s="18" t="s">
        <v>8</v>
      </c>
      <c r="AC4" s="19" t="s">
        <v>9</v>
      </c>
      <c r="AD4" s="17" t="s">
        <v>6</v>
      </c>
      <c r="AE4" s="18" t="s">
        <v>7</v>
      </c>
      <c r="AF4" s="18" t="s">
        <v>8</v>
      </c>
      <c r="AG4" s="106" t="s">
        <v>9</v>
      </c>
      <c r="AH4" s="105" t="s">
        <v>6</v>
      </c>
      <c r="AI4" s="18" t="s">
        <v>7</v>
      </c>
      <c r="AJ4" s="18" t="s">
        <v>8</v>
      </c>
      <c r="AK4" s="106" t="s">
        <v>9</v>
      </c>
    </row>
    <row r="5" spans="1:40" s="4" customFormat="1" ht="19.5" customHeight="1" x14ac:dyDescent="0.25">
      <c r="A5" s="107" t="s">
        <v>10</v>
      </c>
      <c r="B5" s="108">
        <v>181.81391998936067</v>
      </c>
      <c r="C5" s="54">
        <v>30.981575097210243</v>
      </c>
      <c r="D5" s="24">
        <v>0.17040265728291437</v>
      </c>
      <c r="E5" s="54">
        <v>610</v>
      </c>
      <c r="F5" s="53">
        <v>91.554521173432448</v>
      </c>
      <c r="G5" s="54">
        <v>23.982086369687256</v>
      </c>
      <c r="H5" s="24">
        <v>0.26194322314523172</v>
      </c>
      <c r="I5" s="54">
        <v>321</v>
      </c>
      <c r="J5" s="53">
        <v>8.9107657128659312</v>
      </c>
      <c r="K5" s="54">
        <v>5.4540585079217525</v>
      </c>
      <c r="L5" s="24">
        <v>0.61207517778711606</v>
      </c>
      <c r="M5" s="54">
        <v>20</v>
      </c>
      <c r="N5" s="53">
        <v>282.27920687565802</v>
      </c>
      <c r="O5" s="54">
        <v>42.467556063158227</v>
      </c>
      <c r="P5" s="24">
        <v>0.15044521533555563</v>
      </c>
      <c r="Q5" s="109">
        <v>951</v>
      </c>
      <c r="R5" s="108">
        <v>8.20428598630909</v>
      </c>
      <c r="S5" s="54">
        <v>4.6824780024012185</v>
      </c>
      <c r="T5" s="24">
        <v>0.57073558993617579</v>
      </c>
      <c r="U5" s="54">
        <v>22</v>
      </c>
      <c r="V5" s="53">
        <v>14.783376075200845</v>
      </c>
      <c r="W5" s="54">
        <v>11.714295328379846</v>
      </c>
      <c r="X5" s="24">
        <v>0.79239649108505117</v>
      </c>
      <c r="Y5" s="54">
        <v>30</v>
      </c>
      <c r="Z5" s="53">
        <v>1.9763612260918977</v>
      </c>
      <c r="AA5" s="54">
        <v>0.93525460594250909</v>
      </c>
      <c r="AB5" s="24">
        <v>0.47322047892626551</v>
      </c>
      <c r="AC5" s="54">
        <v>11</v>
      </c>
      <c r="AD5" s="53">
        <v>24.964023287601723</v>
      </c>
      <c r="AE5" s="54">
        <v>13.417598338425591</v>
      </c>
      <c r="AF5" s="24">
        <v>0.53747740033111513</v>
      </c>
      <c r="AG5" s="109">
        <v>63</v>
      </c>
      <c r="AH5" s="108">
        <v>306.9016865792097</v>
      </c>
      <c r="AI5" s="54">
        <v>45.022035475012856</v>
      </c>
      <c r="AJ5" s="24">
        <v>0.14669855997481757</v>
      </c>
      <c r="AK5" s="109">
        <v>1014</v>
      </c>
      <c r="AL5" s="26"/>
      <c r="AM5" s="26"/>
      <c r="AN5" s="26"/>
    </row>
    <row r="6" spans="1:40" s="4" customFormat="1" ht="19.5" customHeight="1" x14ac:dyDescent="0.25">
      <c r="A6" s="110" t="s">
        <v>11</v>
      </c>
      <c r="B6" s="111">
        <v>11.617755794871023</v>
      </c>
      <c r="C6" s="56">
        <v>7.212780885806775</v>
      </c>
      <c r="D6" s="30">
        <v>0.62084115152352015</v>
      </c>
      <c r="E6" s="56">
        <v>63</v>
      </c>
      <c r="F6" s="55">
        <v>3.8990690174958971</v>
      </c>
      <c r="G6" s="56">
        <v>1.2271594577362006</v>
      </c>
      <c r="H6" s="30">
        <v>0.31473140183712889</v>
      </c>
      <c r="I6" s="56">
        <v>45</v>
      </c>
      <c r="J6" s="55">
        <v>2.8413293068005046</v>
      </c>
      <c r="K6" s="56">
        <v>1.8315899547016736</v>
      </c>
      <c r="L6" s="30">
        <v>0.64462431380899887</v>
      </c>
      <c r="M6" s="56">
        <v>15</v>
      </c>
      <c r="N6" s="55">
        <v>18.358154119167406</v>
      </c>
      <c r="O6" s="56">
        <v>8.4145591796774593</v>
      </c>
      <c r="P6" s="30">
        <v>0.45835540572632927</v>
      </c>
      <c r="Q6" s="112">
        <v>123</v>
      </c>
      <c r="R6" s="111">
        <v>0</v>
      </c>
      <c r="S6" s="56">
        <v>0</v>
      </c>
      <c r="T6" s="30" t="e">
        <v>#DIV/0!</v>
      </c>
      <c r="U6" s="56">
        <v>0</v>
      </c>
      <c r="V6" s="55">
        <v>4.5280496280984206</v>
      </c>
      <c r="W6" s="56">
        <v>4.2808027232464427</v>
      </c>
      <c r="X6" s="30">
        <v>0.94539660004658332</v>
      </c>
      <c r="Y6" s="56">
        <v>6</v>
      </c>
      <c r="Z6" s="55">
        <v>0.10320840109381778</v>
      </c>
      <c r="AA6" s="56">
        <v>0.10784520627765903</v>
      </c>
      <c r="AB6" s="30">
        <v>1.0449266254946274</v>
      </c>
      <c r="AC6" s="56">
        <v>1</v>
      </c>
      <c r="AD6" s="55">
        <v>4.6312580291922352</v>
      </c>
      <c r="AE6" s="56">
        <v>4.2913536916593138</v>
      </c>
      <c r="AF6" s="30">
        <v>0.92660647811233998</v>
      </c>
      <c r="AG6" s="112">
        <v>7</v>
      </c>
      <c r="AH6" s="111">
        <v>22.967199708468065</v>
      </c>
      <c r="AI6" s="56">
        <v>9.3844816608268324</v>
      </c>
      <c r="AJ6" s="30">
        <v>0.40860365129174847</v>
      </c>
      <c r="AK6" s="112">
        <v>130</v>
      </c>
      <c r="AL6" s="26"/>
      <c r="AM6" s="26"/>
      <c r="AN6" s="26"/>
    </row>
    <row r="7" spans="1:40" s="4" customFormat="1" ht="19.5" customHeight="1" x14ac:dyDescent="0.25">
      <c r="A7" s="110" t="s">
        <v>12</v>
      </c>
      <c r="B7" s="111">
        <v>18.15347520009345</v>
      </c>
      <c r="C7" s="56">
        <v>4.4652597179076396</v>
      </c>
      <c r="D7" s="30">
        <v>0.24597272250575217</v>
      </c>
      <c r="E7" s="56">
        <v>109</v>
      </c>
      <c r="F7" s="55">
        <v>33.10779390250719</v>
      </c>
      <c r="G7" s="56">
        <v>12.243971873443801</v>
      </c>
      <c r="H7" s="30">
        <v>0.36982143568667641</v>
      </c>
      <c r="I7" s="56">
        <v>68</v>
      </c>
      <c r="J7" s="55">
        <v>5.1260019565017707</v>
      </c>
      <c r="K7" s="56">
        <v>2.7837321360352183</v>
      </c>
      <c r="L7" s="30">
        <v>0.54306107560188499</v>
      </c>
      <c r="M7" s="56">
        <v>13</v>
      </c>
      <c r="N7" s="55">
        <v>56.38727105910251</v>
      </c>
      <c r="O7" s="56">
        <v>13.847874713888482</v>
      </c>
      <c r="P7" s="30">
        <v>0.24558511972274355</v>
      </c>
      <c r="Q7" s="112">
        <v>190</v>
      </c>
      <c r="R7" s="111">
        <v>6.1352500294732319</v>
      </c>
      <c r="S7" s="56">
        <v>6.2947450094958901</v>
      </c>
      <c r="T7" s="30">
        <v>1.0259964922792808</v>
      </c>
      <c r="U7" s="56">
        <v>1</v>
      </c>
      <c r="V7" s="55">
        <v>0.27836807080678744</v>
      </c>
      <c r="W7" s="56">
        <v>0.21757539582474367</v>
      </c>
      <c r="X7" s="30">
        <v>0.7816104598280621</v>
      </c>
      <c r="Y7" s="56">
        <v>2</v>
      </c>
      <c r="Z7" s="55">
        <v>0</v>
      </c>
      <c r="AA7" s="56">
        <v>0</v>
      </c>
      <c r="AB7" s="30" t="e">
        <v>#DIV/0!</v>
      </c>
      <c r="AC7" s="56">
        <v>0</v>
      </c>
      <c r="AD7" s="55">
        <v>6.413618100280007</v>
      </c>
      <c r="AE7" s="56">
        <v>6.3193195028296385</v>
      </c>
      <c r="AF7" s="30">
        <v>0.98529712933075142</v>
      </c>
      <c r="AG7" s="112">
        <v>3</v>
      </c>
      <c r="AH7" s="111">
        <v>62.849989721347356</v>
      </c>
      <c r="AI7" s="56">
        <v>15.34345711193035</v>
      </c>
      <c r="AJ7" s="30">
        <v>0.2441282358192472</v>
      </c>
      <c r="AK7" s="112">
        <v>193</v>
      </c>
      <c r="AL7" s="26"/>
      <c r="AM7" s="26"/>
      <c r="AN7" s="26"/>
    </row>
    <row r="8" spans="1:40" s="4" customFormat="1" ht="19.5" customHeight="1" x14ac:dyDescent="0.25">
      <c r="A8" s="110" t="s">
        <v>13</v>
      </c>
      <c r="B8" s="111">
        <v>85.811084823663379</v>
      </c>
      <c r="C8" s="56">
        <v>12.00656765354459</v>
      </c>
      <c r="D8" s="30">
        <v>0.13991860932905539</v>
      </c>
      <c r="E8" s="56">
        <v>790</v>
      </c>
      <c r="F8" s="55">
        <v>57.162794443820538</v>
      </c>
      <c r="G8" s="56">
        <v>27.238561113664698</v>
      </c>
      <c r="H8" s="30">
        <v>0.47650856433260436</v>
      </c>
      <c r="I8" s="56">
        <v>284</v>
      </c>
      <c r="J8" s="55">
        <v>8.836167104409105</v>
      </c>
      <c r="K8" s="56">
        <v>5.7311295740203354</v>
      </c>
      <c r="L8" s="30">
        <v>0.64859904824124415</v>
      </c>
      <c r="M8" s="56">
        <v>29</v>
      </c>
      <c r="N8" s="55">
        <v>151.81004637189301</v>
      </c>
      <c r="O8" s="56">
        <v>31.82729908263936</v>
      </c>
      <c r="P8" s="30">
        <v>0.2096521267418047</v>
      </c>
      <c r="Q8" s="112">
        <v>1103</v>
      </c>
      <c r="R8" s="111">
        <v>1.2015267460871384</v>
      </c>
      <c r="S8" s="56">
        <v>0.51282327602992639</v>
      </c>
      <c r="T8" s="30">
        <v>0.42680970498573895</v>
      </c>
      <c r="U8" s="56">
        <v>16</v>
      </c>
      <c r="V8" s="55">
        <v>0.41728932844652128</v>
      </c>
      <c r="W8" s="56">
        <v>0.21234847517102873</v>
      </c>
      <c r="X8" s="30">
        <v>0.50887588226029312</v>
      </c>
      <c r="Y8" s="56">
        <v>6</v>
      </c>
      <c r="Z8" s="55">
        <v>0.3630180880209869</v>
      </c>
      <c r="AA8" s="56">
        <v>0.21764790429431136</v>
      </c>
      <c r="AB8" s="30">
        <v>0.59955112837718605</v>
      </c>
      <c r="AC8" s="56">
        <v>4</v>
      </c>
      <c r="AD8" s="55">
        <v>1.9818341625546463</v>
      </c>
      <c r="AE8" s="56">
        <v>0.75266958447179466</v>
      </c>
      <c r="AF8" s="30">
        <v>0.37978434255143728</v>
      </c>
      <c r="AG8" s="112">
        <v>26</v>
      </c>
      <c r="AH8" s="111">
        <v>153.60819804754371</v>
      </c>
      <c r="AI8" s="56">
        <v>32.000648636244136</v>
      </c>
      <c r="AJ8" s="30">
        <v>0.20832643727999156</v>
      </c>
      <c r="AK8" s="112">
        <v>1129</v>
      </c>
      <c r="AL8" s="26"/>
      <c r="AM8" s="26"/>
      <c r="AN8" s="26"/>
    </row>
    <row r="9" spans="1:40" s="4" customFormat="1" ht="19.5" customHeight="1" x14ac:dyDescent="0.25">
      <c r="A9" s="110" t="s">
        <v>14</v>
      </c>
      <c r="B9" s="111">
        <v>77.828844007310977</v>
      </c>
      <c r="C9" s="56">
        <v>16.557173618917101</v>
      </c>
      <c r="D9" s="30">
        <v>0.21273826985483399</v>
      </c>
      <c r="E9" s="56">
        <v>326</v>
      </c>
      <c r="F9" s="55">
        <v>39.713543383197056</v>
      </c>
      <c r="G9" s="56">
        <v>18.793961793854201</v>
      </c>
      <c r="H9" s="30">
        <v>0.47323809946926054</v>
      </c>
      <c r="I9" s="56">
        <v>120</v>
      </c>
      <c r="J9" s="55">
        <v>7.5017605831353835</v>
      </c>
      <c r="K9" s="56">
        <v>6.0331918275544885</v>
      </c>
      <c r="L9" s="30">
        <v>0.8042367869107464</v>
      </c>
      <c r="M9" s="56">
        <v>17</v>
      </c>
      <c r="N9" s="55">
        <v>125.04414797364332</v>
      </c>
      <c r="O9" s="56">
        <v>27.382127320990207</v>
      </c>
      <c r="P9" s="30">
        <v>0.2189796784953246</v>
      </c>
      <c r="Q9" s="112">
        <v>463</v>
      </c>
      <c r="R9" s="111">
        <v>13.929820793096606</v>
      </c>
      <c r="S9" s="56">
        <v>7.6357922185138838</v>
      </c>
      <c r="T9" s="30">
        <v>0.54816155440406378</v>
      </c>
      <c r="U9" s="56">
        <v>23</v>
      </c>
      <c r="V9" s="55">
        <v>1.4601109937641854</v>
      </c>
      <c r="W9" s="56">
        <v>0.67275720131177541</v>
      </c>
      <c r="X9" s="30">
        <v>0.46075757540692058</v>
      </c>
      <c r="Y9" s="56">
        <v>12</v>
      </c>
      <c r="Z9" s="55">
        <v>0.44234097090211832</v>
      </c>
      <c r="AA9" s="56">
        <v>0.37447808755090234</v>
      </c>
      <c r="AB9" s="30">
        <v>0.84658241534168732</v>
      </c>
      <c r="AC9" s="56">
        <v>3</v>
      </c>
      <c r="AD9" s="55">
        <v>15.832272757762922</v>
      </c>
      <c r="AE9" s="56">
        <v>7.9883234381199761</v>
      </c>
      <c r="AF9" s="30">
        <v>0.50455948810022366</v>
      </c>
      <c r="AG9" s="112">
        <v>38</v>
      </c>
      <c r="AH9" s="111">
        <v>140.72512362670076</v>
      </c>
      <c r="AI9" s="56">
        <v>28.273056604328868</v>
      </c>
      <c r="AJ9" s="30">
        <v>0.20090980114772075</v>
      </c>
      <c r="AK9" s="112">
        <v>501</v>
      </c>
      <c r="AL9" s="26"/>
      <c r="AM9" s="26"/>
      <c r="AN9" s="26"/>
    </row>
    <row r="10" spans="1:40" s="4" customFormat="1" ht="19.5" customHeight="1" x14ac:dyDescent="0.25">
      <c r="A10" s="110" t="s">
        <v>15</v>
      </c>
      <c r="B10" s="111">
        <v>48.602291386662507</v>
      </c>
      <c r="C10" s="56">
        <v>14.151548779051558</v>
      </c>
      <c r="D10" s="30">
        <v>0.29117040319080595</v>
      </c>
      <c r="E10" s="56">
        <v>226</v>
      </c>
      <c r="F10" s="55">
        <v>21.270684543893204</v>
      </c>
      <c r="G10" s="56">
        <v>6.1566212397786746</v>
      </c>
      <c r="H10" s="30">
        <v>0.28944161280160752</v>
      </c>
      <c r="I10" s="56">
        <v>128</v>
      </c>
      <c r="J10" s="55">
        <v>4.2587606563993416</v>
      </c>
      <c r="K10" s="56">
        <v>3.6967999008259889</v>
      </c>
      <c r="L10" s="30">
        <v>0.86804594084691433</v>
      </c>
      <c r="M10" s="56">
        <v>10</v>
      </c>
      <c r="N10" s="55">
        <v>74.131736586955085</v>
      </c>
      <c r="O10" s="56">
        <v>16.610236917905205</v>
      </c>
      <c r="P10" s="30">
        <v>0.22406377730571198</v>
      </c>
      <c r="Q10" s="112">
        <v>364</v>
      </c>
      <c r="R10" s="111">
        <v>2.9429914389454077</v>
      </c>
      <c r="S10" s="56">
        <v>2.6443451770376423</v>
      </c>
      <c r="T10" s="30">
        <v>0.89852289138333941</v>
      </c>
      <c r="U10" s="56">
        <v>5</v>
      </c>
      <c r="V10" s="55">
        <v>1.1627010367442041</v>
      </c>
      <c r="W10" s="56">
        <v>0.81024389497966576</v>
      </c>
      <c r="X10" s="30">
        <v>0.69686348371074913</v>
      </c>
      <c r="Y10" s="56">
        <v>6</v>
      </c>
      <c r="Z10" s="55">
        <v>3.9106397761841535E-2</v>
      </c>
      <c r="AA10" s="56">
        <v>4.0508739599513906E-2</v>
      </c>
      <c r="AB10" s="30">
        <v>1.0358596525870947</v>
      </c>
      <c r="AC10" s="56">
        <v>1</v>
      </c>
      <c r="AD10" s="55">
        <v>4.1447988734514514</v>
      </c>
      <c r="AE10" s="56">
        <v>2.8811674666756812</v>
      </c>
      <c r="AF10" s="30">
        <v>0.69512841386112401</v>
      </c>
      <c r="AG10" s="112">
        <v>12</v>
      </c>
      <c r="AH10" s="111">
        <v>78.186839803553497</v>
      </c>
      <c r="AI10" s="56">
        <v>16.922733381885084</v>
      </c>
      <c r="AJ10" s="30">
        <v>0.21643966458298991</v>
      </c>
      <c r="AK10" s="112">
        <v>376</v>
      </c>
      <c r="AL10" s="26"/>
      <c r="AM10" s="26"/>
      <c r="AN10" s="26"/>
    </row>
    <row r="11" spans="1:40" s="4" customFormat="1" ht="19.5" customHeight="1" x14ac:dyDescent="0.25">
      <c r="A11" s="110" t="s">
        <v>16</v>
      </c>
      <c r="B11" s="111">
        <v>201.00090575046298</v>
      </c>
      <c r="C11" s="56">
        <v>50.949233684884533</v>
      </c>
      <c r="D11" s="30">
        <v>0.25347763232538156</v>
      </c>
      <c r="E11" s="56">
        <v>221</v>
      </c>
      <c r="F11" s="55">
        <v>38.189069541783951</v>
      </c>
      <c r="G11" s="56">
        <v>19.042986841575761</v>
      </c>
      <c r="H11" s="30">
        <v>0.49865019153556978</v>
      </c>
      <c r="I11" s="56">
        <v>108</v>
      </c>
      <c r="J11" s="55">
        <v>1.1702423938224853</v>
      </c>
      <c r="K11" s="56">
        <v>0.4844687779577817</v>
      </c>
      <c r="L11" s="30">
        <v>0.41399011052343659</v>
      </c>
      <c r="M11" s="56">
        <v>10</v>
      </c>
      <c r="N11" s="55">
        <v>240.36021768607054</v>
      </c>
      <c r="O11" s="56">
        <v>53.175798690985431</v>
      </c>
      <c r="P11" s="30">
        <v>0.22123377654965029</v>
      </c>
      <c r="Q11" s="112">
        <v>339</v>
      </c>
      <c r="R11" s="111">
        <v>0.85654107934349966</v>
      </c>
      <c r="S11" s="56">
        <v>0.44050498616463385</v>
      </c>
      <c r="T11" s="30">
        <v>0.51428354901817575</v>
      </c>
      <c r="U11" s="56">
        <v>6</v>
      </c>
      <c r="V11" s="55">
        <v>28.149326219432208</v>
      </c>
      <c r="W11" s="56">
        <v>25.003814997597821</v>
      </c>
      <c r="X11" s="30">
        <v>0.88825625177262824</v>
      </c>
      <c r="Y11" s="56">
        <v>7</v>
      </c>
      <c r="Z11" s="55">
        <v>0.17255210287080094</v>
      </c>
      <c r="AA11" s="56">
        <v>0.18043103366130211</v>
      </c>
      <c r="AB11" s="30">
        <v>1.0456611693477915</v>
      </c>
      <c r="AC11" s="56">
        <v>1</v>
      </c>
      <c r="AD11" s="55">
        <v>29.178419401646305</v>
      </c>
      <c r="AE11" s="56">
        <v>24.991912492286907</v>
      </c>
      <c r="AF11" s="30">
        <v>0.85652043547214263</v>
      </c>
      <c r="AG11" s="112">
        <v>14</v>
      </c>
      <c r="AH11" s="111">
        <v>269.76878561547289</v>
      </c>
      <c r="AI11" s="56">
        <v>57.776538270627064</v>
      </c>
      <c r="AJ11" s="30">
        <v>0.21417058366782826</v>
      </c>
      <c r="AK11" s="112">
        <v>353</v>
      </c>
      <c r="AL11" s="26"/>
      <c r="AM11" s="26"/>
      <c r="AN11" s="26"/>
    </row>
    <row r="12" spans="1:40" s="4" customFormat="1" ht="19.5" customHeight="1" x14ac:dyDescent="0.25">
      <c r="A12" s="110" t="s">
        <v>17</v>
      </c>
      <c r="B12" s="111">
        <v>340.24048616941286</v>
      </c>
      <c r="C12" s="56">
        <v>64.041570602969415</v>
      </c>
      <c r="D12" s="30">
        <v>0.18822442715145243</v>
      </c>
      <c r="E12" s="56">
        <v>459</v>
      </c>
      <c r="F12" s="55">
        <v>209.91221364218944</v>
      </c>
      <c r="G12" s="56">
        <v>33.132414093389166</v>
      </c>
      <c r="H12" s="30">
        <v>0.15783938208505469</v>
      </c>
      <c r="I12" s="56">
        <v>475</v>
      </c>
      <c r="J12" s="55">
        <v>29.478543479386083</v>
      </c>
      <c r="K12" s="56">
        <v>11.494614923769957</v>
      </c>
      <c r="L12" s="30">
        <v>0.38993157622621261</v>
      </c>
      <c r="M12" s="56">
        <v>58</v>
      </c>
      <c r="N12" s="55">
        <v>579.63124329098855</v>
      </c>
      <c r="O12" s="56">
        <v>76.99208979204694</v>
      </c>
      <c r="P12" s="30">
        <v>0.13282943368426242</v>
      </c>
      <c r="Q12" s="112">
        <v>992</v>
      </c>
      <c r="R12" s="111">
        <v>24.509633706883616</v>
      </c>
      <c r="S12" s="56">
        <v>13.988737951347185</v>
      </c>
      <c r="T12" s="30">
        <v>0.57074447209785917</v>
      </c>
      <c r="U12" s="56">
        <v>42</v>
      </c>
      <c r="V12" s="55">
        <v>60.857312462506329</v>
      </c>
      <c r="W12" s="56">
        <v>28.541444923589115</v>
      </c>
      <c r="X12" s="30">
        <v>0.46898957197909874</v>
      </c>
      <c r="Y12" s="56">
        <v>46</v>
      </c>
      <c r="Z12" s="55">
        <v>0.66334449984811161</v>
      </c>
      <c r="AA12" s="56">
        <v>0.35354328558259479</v>
      </c>
      <c r="AB12" s="30">
        <v>0.53297085551104573</v>
      </c>
      <c r="AC12" s="56">
        <v>6</v>
      </c>
      <c r="AD12" s="55">
        <v>86.03029066923807</v>
      </c>
      <c r="AE12" s="56">
        <v>31.781753624897579</v>
      </c>
      <c r="AF12" s="30">
        <v>0.3694251568565467</v>
      </c>
      <c r="AG12" s="112">
        <v>94</v>
      </c>
      <c r="AH12" s="111">
        <v>666.45088401214002</v>
      </c>
      <c r="AI12" s="56">
        <v>82.359694382184571</v>
      </c>
      <c r="AJ12" s="30">
        <v>0.12357954105539803</v>
      </c>
      <c r="AK12" s="112">
        <v>1086</v>
      </c>
      <c r="AL12" s="26"/>
      <c r="AM12" s="26"/>
      <c r="AN12" s="26"/>
    </row>
    <row r="13" spans="1:40" s="4" customFormat="1" ht="19.5" customHeight="1" x14ac:dyDescent="0.25">
      <c r="A13" s="110" t="s">
        <v>18</v>
      </c>
      <c r="B13" s="111">
        <v>89.412130673254083</v>
      </c>
      <c r="C13" s="56">
        <v>24.446544239199799</v>
      </c>
      <c r="D13" s="30">
        <v>0.27341417831252413</v>
      </c>
      <c r="E13" s="56">
        <v>100</v>
      </c>
      <c r="F13" s="55">
        <v>78.11030616401942</v>
      </c>
      <c r="G13" s="56">
        <v>23.304976956494613</v>
      </c>
      <c r="H13" s="30">
        <v>0.29835982088660373</v>
      </c>
      <c r="I13" s="56">
        <v>117</v>
      </c>
      <c r="J13" s="55">
        <v>2.4421368178792422</v>
      </c>
      <c r="K13" s="56">
        <v>0.9519055425078855</v>
      </c>
      <c r="L13" s="30">
        <v>0.38978387105048551</v>
      </c>
      <c r="M13" s="56">
        <v>10</v>
      </c>
      <c r="N13" s="55">
        <v>169.96457365515263</v>
      </c>
      <c r="O13" s="56">
        <v>36.583094544223719</v>
      </c>
      <c r="P13" s="30">
        <v>0.21523952761149218</v>
      </c>
      <c r="Q13" s="112">
        <v>227</v>
      </c>
      <c r="R13" s="111">
        <v>4.1803307199909563</v>
      </c>
      <c r="S13" s="56">
        <v>3.3523021947498948</v>
      </c>
      <c r="T13" s="30">
        <v>0.80192272317563118</v>
      </c>
      <c r="U13" s="56">
        <v>4</v>
      </c>
      <c r="V13" s="55">
        <v>12.121068906964936</v>
      </c>
      <c r="W13" s="56">
        <v>10.602044547921507</v>
      </c>
      <c r="X13" s="30">
        <v>0.87467900968943613</v>
      </c>
      <c r="Y13" s="56">
        <v>9</v>
      </c>
      <c r="Z13" s="55">
        <v>1.0339218680967495</v>
      </c>
      <c r="AA13" s="56">
        <v>0.62288512288103748</v>
      </c>
      <c r="AB13" s="30">
        <v>0.60244892975099629</v>
      </c>
      <c r="AC13" s="56">
        <v>4</v>
      </c>
      <c r="AD13" s="55">
        <v>17.335321495052654</v>
      </c>
      <c r="AE13" s="56">
        <v>11.480781213910243</v>
      </c>
      <c r="AF13" s="30">
        <v>0.66227679810765294</v>
      </c>
      <c r="AG13" s="112">
        <v>17</v>
      </c>
      <c r="AH13" s="111">
        <v>187.09424659956102</v>
      </c>
      <c r="AI13" s="56">
        <v>38.702303494913821</v>
      </c>
      <c r="AJ13" s="30">
        <v>0.20685993395482974</v>
      </c>
      <c r="AK13" s="112">
        <v>244</v>
      </c>
      <c r="AL13" s="26"/>
      <c r="AM13" s="26"/>
      <c r="AN13" s="26"/>
    </row>
    <row r="14" spans="1:40" s="4" customFormat="1" ht="19.5" customHeight="1" x14ac:dyDescent="0.25">
      <c r="A14" s="110" t="s">
        <v>19</v>
      </c>
      <c r="B14" s="113">
        <v>15.126748264468617</v>
      </c>
      <c r="C14" s="58">
        <v>7.1577791473205643</v>
      </c>
      <c r="D14" s="30">
        <v>0.47318690191556567</v>
      </c>
      <c r="E14" s="58">
        <v>21</v>
      </c>
      <c r="F14" s="114">
        <v>32.900374092802906</v>
      </c>
      <c r="G14" s="58">
        <v>17.629488025187545</v>
      </c>
      <c r="H14" s="30">
        <v>0.53584460697801206</v>
      </c>
      <c r="I14" s="58">
        <v>19</v>
      </c>
      <c r="J14" s="114">
        <v>0</v>
      </c>
      <c r="K14" s="58">
        <v>0</v>
      </c>
      <c r="L14" s="30" t="e">
        <v>#DIV/0!</v>
      </c>
      <c r="M14" s="58">
        <v>0</v>
      </c>
      <c r="N14" s="114">
        <v>48.027122357271622</v>
      </c>
      <c r="O14" s="58">
        <v>19.034030477267784</v>
      </c>
      <c r="P14" s="30">
        <v>0.39631836227193623</v>
      </c>
      <c r="Q14" s="115">
        <v>40</v>
      </c>
      <c r="R14" s="113">
        <v>1.6367851627462056</v>
      </c>
      <c r="S14" s="58">
        <v>1.0922451062658611</v>
      </c>
      <c r="T14" s="30">
        <v>0.66731122148815625</v>
      </c>
      <c r="U14" s="58">
        <v>5</v>
      </c>
      <c r="V14" s="114">
        <v>19.932077354039649</v>
      </c>
      <c r="W14" s="58">
        <v>17.946266658862697</v>
      </c>
      <c r="X14" s="30">
        <v>0.90037111235801592</v>
      </c>
      <c r="Y14" s="58">
        <v>6</v>
      </c>
      <c r="Z14" s="114">
        <v>0.15481251278645874</v>
      </c>
      <c r="AA14" s="58">
        <v>0.16185454299329285</v>
      </c>
      <c r="AB14" s="30">
        <v>1.0454874743655092</v>
      </c>
      <c r="AC14" s="58">
        <v>1</v>
      </c>
      <c r="AD14" s="114">
        <v>21.72367502957232</v>
      </c>
      <c r="AE14" s="58">
        <v>18.025549315098424</v>
      </c>
      <c r="AF14" s="30">
        <v>0.82976518892684326</v>
      </c>
      <c r="AG14" s="115">
        <v>12</v>
      </c>
      <c r="AH14" s="113">
        <v>69.692686991047083</v>
      </c>
      <c r="AI14" s="58">
        <v>26.114501093472388</v>
      </c>
      <c r="AJ14" s="30">
        <v>0.37470934499665842</v>
      </c>
      <c r="AK14" s="115">
        <v>52</v>
      </c>
      <c r="AL14" s="26"/>
      <c r="AM14" s="26"/>
      <c r="AN14" s="26"/>
    </row>
    <row r="15" spans="1:40" s="4" customFormat="1" ht="19.5" customHeight="1" thickBot="1" x14ac:dyDescent="0.3">
      <c r="A15" s="110" t="s">
        <v>20</v>
      </c>
      <c r="B15" s="116">
        <v>5.4070869637326995</v>
      </c>
      <c r="C15" s="59">
        <v>2.7274371647012505</v>
      </c>
      <c r="D15" s="30">
        <v>0.50441895663878988</v>
      </c>
      <c r="E15" s="59">
        <v>12</v>
      </c>
      <c r="F15" s="57">
        <v>6.6757718982726297</v>
      </c>
      <c r="G15" s="59">
        <v>5.7876794912510654</v>
      </c>
      <c r="H15" s="30">
        <v>0.8669678322515243</v>
      </c>
      <c r="I15" s="59">
        <v>6</v>
      </c>
      <c r="J15" s="57">
        <v>1.4791095605525078</v>
      </c>
      <c r="K15" s="59">
        <v>1.4865367006631864</v>
      </c>
      <c r="L15" s="30">
        <v>1.0050213590046058</v>
      </c>
      <c r="M15" s="59">
        <v>1</v>
      </c>
      <c r="N15" s="57">
        <v>13.561968422557847</v>
      </c>
      <c r="O15" s="59">
        <v>5.7876831055819382</v>
      </c>
      <c r="P15" s="30">
        <v>0.4267583381152244</v>
      </c>
      <c r="Q15" s="117">
        <v>19</v>
      </c>
      <c r="R15" s="116">
        <v>7.990960276607475</v>
      </c>
      <c r="S15" s="59">
        <v>6.2895098756300909</v>
      </c>
      <c r="T15" s="30">
        <v>0.78707810549901436</v>
      </c>
      <c r="U15" s="59">
        <v>3</v>
      </c>
      <c r="V15" s="57">
        <v>0.7211065185786385</v>
      </c>
      <c r="W15" s="59">
        <v>0.55368671901064759</v>
      </c>
      <c r="X15" s="30">
        <v>0.76782930780047665</v>
      </c>
      <c r="Y15" s="59">
        <v>3</v>
      </c>
      <c r="Z15" s="57">
        <v>0</v>
      </c>
      <c r="AA15" s="59">
        <v>0</v>
      </c>
      <c r="AB15" s="30" t="e">
        <v>#DIV/0!</v>
      </c>
      <c r="AC15" s="59">
        <v>0</v>
      </c>
      <c r="AD15" s="57">
        <v>8.7120667951861108</v>
      </c>
      <c r="AE15" s="59">
        <v>6.3869679127517065</v>
      </c>
      <c r="AF15" s="30">
        <v>0.73311741781879503</v>
      </c>
      <c r="AG15" s="117">
        <v>6</v>
      </c>
      <c r="AH15" s="116">
        <v>22.25762591946404</v>
      </c>
      <c r="AI15" s="59">
        <v>8.5196093192504367</v>
      </c>
      <c r="AJ15" s="30">
        <v>0.38277259893204224</v>
      </c>
      <c r="AK15" s="117">
        <v>25</v>
      </c>
      <c r="AL15" s="26"/>
      <c r="AM15" s="26"/>
      <c r="AN15" s="26"/>
    </row>
    <row r="16" spans="1:40" s="4" customFormat="1" ht="24.75" customHeight="1" thickTop="1" thickBot="1" x14ac:dyDescent="0.3">
      <c r="A16" s="118" t="s">
        <v>4</v>
      </c>
      <c r="B16" s="119">
        <v>1075.0147290232933</v>
      </c>
      <c r="C16" s="120">
        <v>102.59257267450198</v>
      </c>
      <c r="D16" s="121">
        <v>9.5433643748967664E-2</v>
      </c>
      <c r="E16" s="120">
        <v>2937</v>
      </c>
      <c r="F16" s="122">
        <v>612.49614180341371</v>
      </c>
      <c r="G16" s="120">
        <v>73.268740610372816</v>
      </c>
      <c r="H16" s="121">
        <v>0.11962318716758398</v>
      </c>
      <c r="I16" s="120">
        <v>1691</v>
      </c>
      <c r="J16" s="122">
        <v>72.044817571752247</v>
      </c>
      <c r="K16" s="120">
        <v>16.379587401610355</v>
      </c>
      <c r="L16" s="121">
        <v>0.22735275004752817</v>
      </c>
      <c r="M16" s="120">
        <v>183</v>
      </c>
      <c r="N16" s="122">
        <v>1759.5556883984593</v>
      </c>
      <c r="O16" s="120">
        <v>142.7132940270418</v>
      </c>
      <c r="P16" s="121">
        <v>8.1107574467812887E-2</v>
      </c>
      <c r="Q16" s="123">
        <v>4811</v>
      </c>
      <c r="R16" s="119">
        <v>71.588125939483263</v>
      </c>
      <c r="S16" s="120">
        <v>25.294983923149651</v>
      </c>
      <c r="T16" s="121">
        <v>0.35334049594387573</v>
      </c>
      <c r="U16" s="120">
        <v>127</v>
      </c>
      <c r="V16" s="122">
        <v>144.41078659458273</v>
      </c>
      <c r="W16" s="120">
        <v>37.764807873175783</v>
      </c>
      <c r="X16" s="121">
        <v>0.26150960578309357</v>
      </c>
      <c r="Y16" s="120">
        <v>133</v>
      </c>
      <c r="Z16" s="122">
        <v>4.9486660674727805</v>
      </c>
      <c r="AA16" s="120">
        <v>1.8721941362193257</v>
      </c>
      <c r="AB16" s="121">
        <v>0.37832298859790131</v>
      </c>
      <c r="AC16" s="120">
        <v>32</v>
      </c>
      <c r="AD16" s="122">
        <v>220.94757860153862</v>
      </c>
      <c r="AE16" s="120">
        <v>48.571329609107551</v>
      </c>
      <c r="AF16" s="121">
        <v>0.21983191631487431</v>
      </c>
      <c r="AG16" s="123">
        <v>292</v>
      </c>
      <c r="AH16" s="119">
        <v>1980.5032670000001</v>
      </c>
      <c r="AI16" s="120">
        <v>152.1445358</v>
      </c>
      <c r="AJ16" s="121">
        <v>7.6821148611617013E-2</v>
      </c>
      <c r="AK16" s="123">
        <v>5107</v>
      </c>
    </row>
    <row r="17" spans="1:40" s="4" customFormat="1" ht="16.5" customHeight="1" thickBot="1" x14ac:dyDescent="0.3">
      <c r="A17" s="40"/>
      <c r="B17" s="41"/>
      <c r="C17" s="41"/>
      <c r="D17" s="41"/>
      <c r="E17" s="41"/>
      <c r="F17" s="41"/>
      <c r="G17" s="41"/>
      <c r="H17" s="41"/>
      <c r="I17" s="41"/>
      <c r="J17" s="41"/>
      <c r="K17" s="41"/>
      <c r="L17" s="41"/>
      <c r="M17" s="41"/>
      <c r="N17" s="41"/>
      <c r="O17" s="41"/>
      <c r="P17" s="41"/>
      <c r="Q17" s="41"/>
      <c r="R17" s="41"/>
      <c r="S17" s="41"/>
      <c r="T17" s="41"/>
      <c r="U17" s="41"/>
      <c r="V17" s="41"/>
      <c r="W17" s="41"/>
      <c r="X17" s="41"/>
      <c r="Y17" s="41"/>
      <c r="Z17" s="41"/>
      <c r="AA17" s="41"/>
      <c r="AB17" s="41"/>
      <c r="AC17" s="41"/>
      <c r="AD17" s="41"/>
      <c r="AE17" s="41"/>
      <c r="AF17" s="41"/>
      <c r="AG17" s="41"/>
      <c r="AH17" s="41"/>
      <c r="AI17" s="41"/>
      <c r="AJ17" s="41"/>
      <c r="AK17" s="41"/>
    </row>
    <row r="18" spans="1:40" s="4" customFormat="1" ht="50.25" customHeight="1" x14ac:dyDescent="0.25">
      <c r="A18" s="124" t="s">
        <v>21</v>
      </c>
      <c r="B18" s="125" t="s">
        <v>6</v>
      </c>
      <c r="C18" s="126" t="s">
        <v>7</v>
      </c>
      <c r="D18" s="126" t="s">
        <v>8</v>
      </c>
      <c r="E18" s="127" t="s">
        <v>9</v>
      </c>
      <c r="F18" s="128" t="s">
        <v>6</v>
      </c>
      <c r="G18" s="126" t="s">
        <v>7</v>
      </c>
      <c r="H18" s="126" t="s">
        <v>8</v>
      </c>
      <c r="I18" s="127" t="s">
        <v>9</v>
      </c>
      <c r="J18" s="128" t="s">
        <v>6</v>
      </c>
      <c r="K18" s="126" t="s">
        <v>7</v>
      </c>
      <c r="L18" s="126" t="s">
        <v>8</v>
      </c>
      <c r="M18" s="127" t="s">
        <v>9</v>
      </c>
      <c r="N18" s="128" t="s">
        <v>6</v>
      </c>
      <c r="O18" s="126" t="s">
        <v>7</v>
      </c>
      <c r="P18" s="126" t="s">
        <v>8</v>
      </c>
      <c r="Q18" s="129" t="s">
        <v>9</v>
      </c>
      <c r="R18" s="125" t="s">
        <v>6</v>
      </c>
      <c r="S18" s="126" t="s">
        <v>7</v>
      </c>
      <c r="T18" s="126" t="s">
        <v>8</v>
      </c>
      <c r="U18" s="127" t="s">
        <v>9</v>
      </c>
      <c r="V18" s="128" t="s">
        <v>6</v>
      </c>
      <c r="W18" s="126" t="s">
        <v>7</v>
      </c>
      <c r="X18" s="126" t="s">
        <v>8</v>
      </c>
      <c r="Y18" s="127" t="s">
        <v>9</v>
      </c>
      <c r="Z18" s="128" t="s">
        <v>6</v>
      </c>
      <c r="AA18" s="126" t="s">
        <v>7</v>
      </c>
      <c r="AB18" s="126" t="s">
        <v>8</v>
      </c>
      <c r="AC18" s="127" t="s">
        <v>9</v>
      </c>
      <c r="AD18" s="128" t="s">
        <v>6</v>
      </c>
      <c r="AE18" s="126" t="s">
        <v>7</v>
      </c>
      <c r="AF18" s="126" t="s">
        <v>8</v>
      </c>
      <c r="AG18" s="129" t="s">
        <v>9</v>
      </c>
      <c r="AH18" s="125" t="s">
        <v>6</v>
      </c>
      <c r="AI18" s="126" t="s">
        <v>7</v>
      </c>
      <c r="AJ18" s="126" t="s">
        <v>8</v>
      </c>
      <c r="AK18" s="129" t="s">
        <v>9</v>
      </c>
    </row>
    <row r="19" spans="1:40" s="4" customFormat="1" ht="19.5" customHeight="1" x14ac:dyDescent="0.25">
      <c r="A19" s="130" t="s">
        <v>22</v>
      </c>
      <c r="B19" s="113">
        <v>714.24040762567972</v>
      </c>
      <c r="C19" s="58">
        <v>80.682070688256786</v>
      </c>
      <c r="D19" s="30">
        <v>0.11296206407092663</v>
      </c>
      <c r="E19" s="58">
        <v>2445</v>
      </c>
      <c r="F19" s="114">
        <v>363.00778217014908</v>
      </c>
      <c r="G19" s="58">
        <v>55.464367714353649</v>
      </c>
      <c r="H19" s="30">
        <v>0.15279112580665385</v>
      </c>
      <c r="I19" s="58">
        <v>1187</v>
      </c>
      <c r="J19" s="114">
        <v>41.087164531813706</v>
      </c>
      <c r="K19" s="58">
        <v>11.464525685980307</v>
      </c>
      <c r="L19" s="30">
        <v>0.2790293712554282</v>
      </c>
      <c r="M19" s="58">
        <v>123</v>
      </c>
      <c r="N19" s="114">
        <v>1118.335354327643</v>
      </c>
      <c r="O19" s="58">
        <v>109.25644508637141</v>
      </c>
      <c r="P19" s="30">
        <v>9.7695601470149121E-2</v>
      </c>
      <c r="Q19" s="115">
        <v>3755</v>
      </c>
      <c r="R19" s="113">
        <v>37.450746793245969</v>
      </c>
      <c r="S19" s="58">
        <v>14.85169705898252</v>
      </c>
      <c r="T19" s="30">
        <v>0.3965661123121032</v>
      </c>
      <c r="U19" s="58">
        <v>77</v>
      </c>
      <c r="V19" s="53">
        <v>62.900290259458089</v>
      </c>
      <c r="W19" s="54">
        <v>28.822692746863371</v>
      </c>
      <c r="X19" s="24">
        <v>0.45822829478166688</v>
      </c>
      <c r="Y19" s="25">
        <v>78</v>
      </c>
      <c r="Z19" s="114">
        <v>4.1305090548382202</v>
      </c>
      <c r="AA19" s="58">
        <v>1.6325655242991006</v>
      </c>
      <c r="AB19" s="30">
        <v>0.39524559869607728</v>
      </c>
      <c r="AC19" s="58">
        <v>25</v>
      </c>
      <c r="AD19" s="114">
        <v>104.48154610754217</v>
      </c>
      <c r="AE19" s="58">
        <v>34.240289234604987</v>
      </c>
      <c r="AF19" s="30">
        <v>0.327716142325858</v>
      </c>
      <c r="AG19" s="115">
        <v>180</v>
      </c>
      <c r="AH19" s="113">
        <v>1222.1020699335597</v>
      </c>
      <c r="AI19" s="58">
        <v>114.74549436102869</v>
      </c>
      <c r="AJ19" s="30">
        <v>9.3891907381571563E-2</v>
      </c>
      <c r="AK19" s="115">
        <v>3940</v>
      </c>
      <c r="AL19" s="26"/>
      <c r="AM19" s="26"/>
      <c r="AN19" s="26"/>
    </row>
    <row r="20" spans="1:40" s="4" customFormat="1" ht="19.5" customHeight="1" thickBot="1" x14ac:dyDescent="0.3">
      <c r="A20" s="131" t="s">
        <v>23</v>
      </c>
      <c r="B20" s="116">
        <v>360.77432139761521</v>
      </c>
      <c r="C20" s="59">
        <v>64.545315109427776</v>
      </c>
      <c r="D20" s="30">
        <v>0.17890773062612553</v>
      </c>
      <c r="E20" s="59">
        <v>490</v>
      </c>
      <c r="F20" s="57">
        <v>249.48835963326468</v>
      </c>
      <c r="G20" s="59">
        <v>38.980151845988573</v>
      </c>
      <c r="H20" s="30">
        <v>0.15624036289022636</v>
      </c>
      <c r="I20" s="59">
        <v>498</v>
      </c>
      <c r="J20" s="57">
        <v>30.957653039938545</v>
      </c>
      <c r="K20" s="59">
        <v>11.60192527746786</v>
      </c>
      <c r="L20" s="30">
        <v>0.37476759825753547</v>
      </c>
      <c r="M20" s="59">
        <v>59</v>
      </c>
      <c r="N20" s="57">
        <v>641.22033407081631</v>
      </c>
      <c r="O20" s="59">
        <v>80.050007068677118</v>
      </c>
      <c r="P20" s="30">
        <v>0.12484009445002472</v>
      </c>
      <c r="Q20" s="117">
        <v>1047</v>
      </c>
      <c r="R20" s="116">
        <v>34.137379146237308</v>
      </c>
      <c r="S20" s="59">
        <v>16.235559467705468</v>
      </c>
      <c r="T20" s="30">
        <v>0.47559478418526996</v>
      </c>
      <c r="U20" s="59">
        <v>50</v>
      </c>
      <c r="V20" s="55">
        <v>81.510496335124657</v>
      </c>
      <c r="W20" s="56">
        <v>31.969019296453141</v>
      </c>
      <c r="X20" s="30">
        <v>0.39220739332778409</v>
      </c>
      <c r="Y20" s="31">
        <v>55</v>
      </c>
      <c r="Z20" s="57">
        <v>0.81815701263457141</v>
      </c>
      <c r="AA20" s="59">
        <v>0.41220422029814818</v>
      </c>
      <c r="AB20" s="30">
        <v>0.50382043291518985</v>
      </c>
      <c r="AC20" s="59">
        <v>7</v>
      </c>
      <c r="AD20" s="57">
        <v>116.46603249399645</v>
      </c>
      <c r="AE20" s="59">
        <v>36.063413956104768</v>
      </c>
      <c r="AF20" s="30">
        <v>0.30964748419642224</v>
      </c>
      <c r="AG20" s="117">
        <v>112</v>
      </c>
      <c r="AH20" s="116">
        <v>758.4011970664385</v>
      </c>
      <c r="AI20" s="59">
        <v>87.981038461474682</v>
      </c>
      <c r="AJ20" s="30">
        <v>0.11600857013648311</v>
      </c>
      <c r="AK20" s="117">
        <v>1163</v>
      </c>
      <c r="AL20" s="26"/>
      <c r="AM20" s="26"/>
      <c r="AN20" s="26"/>
    </row>
    <row r="21" spans="1:40" s="4" customFormat="1" ht="24.75" customHeight="1" thickTop="1" thickBot="1" x14ac:dyDescent="0.3">
      <c r="A21" s="118" t="s">
        <v>4</v>
      </c>
      <c r="B21" s="119">
        <v>1075.0147290232933</v>
      </c>
      <c r="C21" s="120">
        <v>102.59257267450198</v>
      </c>
      <c r="D21" s="121">
        <v>9.5433643748967664E-2</v>
      </c>
      <c r="E21" s="120">
        <v>2937</v>
      </c>
      <c r="F21" s="122">
        <v>612.49614180341371</v>
      </c>
      <c r="G21" s="120">
        <v>73.268740610372816</v>
      </c>
      <c r="H21" s="121">
        <v>0.11962318716758398</v>
      </c>
      <c r="I21" s="120">
        <v>1691</v>
      </c>
      <c r="J21" s="122">
        <v>72.044817571752247</v>
      </c>
      <c r="K21" s="120">
        <v>16.379587401610355</v>
      </c>
      <c r="L21" s="121">
        <v>0.22735275004752817</v>
      </c>
      <c r="M21" s="120">
        <v>183</v>
      </c>
      <c r="N21" s="122">
        <v>1759.5556883984593</v>
      </c>
      <c r="O21" s="120">
        <v>142.7132940270418</v>
      </c>
      <c r="P21" s="121">
        <v>8.1107574467812887E-2</v>
      </c>
      <c r="Q21" s="123">
        <v>4811</v>
      </c>
      <c r="R21" s="119">
        <v>71.588125939483263</v>
      </c>
      <c r="S21" s="120">
        <v>25.294983923149651</v>
      </c>
      <c r="T21" s="121">
        <v>0.35334049594387573</v>
      </c>
      <c r="U21" s="120">
        <v>127</v>
      </c>
      <c r="V21" s="122">
        <v>144.41078659458273</v>
      </c>
      <c r="W21" s="120">
        <v>37.764807873175783</v>
      </c>
      <c r="X21" s="121">
        <v>0.26150960578309357</v>
      </c>
      <c r="Y21" s="132">
        <v>133</v>
      </c>
      <c r="Z21" s="122">
        <v>4.9486660674727805</v>
      </c>
      <c r="AA21" s="120">
        <v>1.8721941362193257</v>
      </c>
      <c r="AB21" s="121">
        <v>0.37832298859790131</v>
      </c>
      <c r="AC21" s="120">
        <v>32</v>
      </c>
      <c r="AD21" s="122">
        <v>220.94757860153862</v>
      </c>
      <c r="AE21" s="120">
        <v>48.571329609107551</v>
      </c>
      <c r="AF21" s="121">
        <v>0.21983191631487431</v>
      </c>
      <c r="AG21" s="123">
        <v>292</v>
      </c>
      <c r="AH21" s="119">
        <v>1980.5032670000001</v>
      </c>
      <c r="AI21" s="120">
        <v>152.1445358</v>
      </c>
      <c r="AJ21" s="121">
        <v>7.6821148611617013E-2</v>
      </c>
      <c r="AK21" s="123">
        <v>5107</v>
      </c>
    </row>
    <row r="22" spans="1:40" s="4" customFormat="1" x14ac:dyDescent="0.25">
      <c r="A22" s="40"/>
      <c r="B22" s="64"/>
      <c r="C22" s="64"/>
      <c r="D22" s="65"/>
      <c r="E22" s="64"/>
      <c r="F22" s="64"/>
      <c r="G22" s="64"/>
      <c r="H22" s="65"/>
      <c r="I22" s="64"/>
      <c r="J22" s="64"/>
      <c r="K22" s="64"/>
      <c r="L22" s="65"/>
      <c r="M22" s="64"/>
      <c r="N22" s="64"/>
      <c r="O22" s="64"/>
      <c r="P22" s="65"/>
      <c r="Q22" s="64"/>
      <c r="R22" s="64"/>
      <c r="S22" s="64"/>
      <c r="T22" s="65"/>
      <c r="U22" s="64"/>
      <c r="V22" s="64"/>
      <c r="W22" s="64"/>
      <c r="X22" s="65"/>
      <c r="Y22" s="64"/>
    </row>
    <row r="23" spans="1:40" s="4" customFormat="1" x14ac:dyDescent="0.25">
      <c r="A23" s="40" t="s">
        <v>153</v>
      </c>
      <c r="B23" s="44" t="s">
        <v>26</v>
      </c>
      <c r="C23" s="4" t="s">
        <v>40</v>
      </c>
    </row>
    <row r="24" spans="1:40" s="4" customFormat="1" x14ac:dyDescent="0.25">
      <c r="A24" s="40"/>
      <c r="B24" s="45" t="s">
        <v>26</v>
      </c>
      <c r="C24" s="4" t="s">
        <v>29</v>
      </c>
    </row>
    <row r="25" spans="1:40" x14ac:dyDescent="0.25">
      <c r="A25" s="154" t="s">
        <v>240</v>
      </c>
    </row>
  </sheetData>
  <mergeCells count="2">
    <mergeCell ref="B2:Q2"/>
    <mergeCell ref="R2:AG2"/>
  </mergeCells>
  <conditionalFormatting sqref="Q17:Q18">
    <cfRule type="expression" dxfId="1515" priority="215">
      <formula>Q17&lt;=1</formula>
    </cfRule>
  </conditionalFormatting>
  <conditionalFormatting sqref="N17:N18">
    <cfRule type="expression" dxfId="1514" priority="209">
      <formula>OR(P17&gt;=0.5,Q17&lt;=5)</formula>
    </cfRule>
    <cfRule type="expression" dxfId="1513" priority="211">
      <formula>Q17&lt;=1</formula>
    </cfRule>
  </conditionalFormatting>
  <conditionalFormatting sqref="O17:O18">
    <cfRule type="expression" dxfId="1512" priority="210">
      <formula>OR(P17&gt;=0.5,Q17&lt;=5)</formula>
    </cfRule>
    <cfRule type="expression" dxfId="1511" priority="212">
      <formula>Q17&lt;=1</formula>
    </cfRule>
  </conditionalFormatting>
  <conditionalFormatting sqref="P17:P18">
    <cfRule type="expression" dxfId="1510" priority="213">
      <formula>OR(P17&gt;=0.5,Q17&lt;=5)</formula>
    </cfRule>
    <cfRule type="expression" dxfId="1509" priority="214">
      <formula>Q17&lt;=1</formula>
    </cfRule>
  </conditionalFormatting>
  <conditionalFormatting sqref="AH5:AH16">
    <cfRule type="expression" dxfId="1508" priority="203">
      <formula>OR(AJ5&gt;=0.5,AK5&lt;=5)</formula>
    </cfRule>
    <cfRule type="expression" dxfId="1507" priority="205">
      <formula>AK5&lt;=1</formula>
    </cfRule>
  </conditionalFormatting>
  <conditionalFormatting sqref="AI5:AI16">
    <cfRule type="expression" dxfId="1506" priority="204">
      <formula>OR(AJ5&gt;=0.5,AK5&lt;=5)</formula>
    </cfRule>
    <cfRule type="expression" dxfId="1505" priority="206">
      <formula>AK5&lt;=1</formula>
    </cfRule>
  </conditionalFormatting>
  <conditionalFormatting sqref="AJ5:AJ16">
    <cfRule type="expression" dxfId="1504" priority="207">
      <formula>OR(AJ5&gt;=0.5,AK5&lt;=5)</formula>
    </cfRule>
    <cfRule type="expression" dxfId="1503" priority="208">
      <formula>AK5&lt;=1</formula>
    </cfRule>
  </conditionalFormatting>
  <conditionalFormatting sqref="Y21">
    <cfRule type="expression" dxfId="1502" priority="202">
      <formula>Y21&lt;=1</formula>
    </cfRule>
  </conditionalFormatting>
  <conditionalFormatting sqref="V21">
    <cfRule type="expression" dxfId="1501" priority="196">
      <formula>OR(X21&gt;=0.5,Y21&lt;=5)</formula>
    </cfRule>
    <cfRule type="expression" dxfId="1500" priority="198">
      <formula>Y21&lt;=1</formula>
    </cfRule>
  </conditionalFormatting>
  <conditionalFormatting sqref="W21">
    <cfRule type="expression" dxfId="1499" priority="197">
      <formula>OR(X21&gt;=0.5,Y21&lt;=5)</formula>
    </cfRule>
    <cfRule type="expression" dxfId="1498" priority="199">
      <formula>Y21&lt;=1</formula>
    </cfRule>
  </conditionalFormatting>
  <conditionalFormatting sqref="X21">
    <cfRule type="expression" dxfId="1497" priority="200">
      <formula>OR(X21&gt;=0.5,Y21&lt;=5)</formula>
    </cfRule>
    <cfRule type="expression" dxfId="1496" priority="201">
      <formula>Y21&lt;=1</formula>
    </cfRule>
  </conditionalFormatting>
  <conditionalFormatting sqref="M17:M18">
    <cfRule type="expression" dxfId="1495" priority="195">
      <formula>M17&lt;=1</formula>
    </cfRule>
  </conditionalFormatting>
  <conditionalFormatting sqref="J17:J18">
    <cfRule type="expression" dxfId="1494" priority="189">
      <formula>OR(L17&gt;=0.5,M17&lt;=5)</formula>
    </cfRule>
    <cfRule type="expression" dxfId="1493" priority="191">
      <formula>M17&lt;=1</formula>
    </cfRule>
  </conditionalFormatting>
  <conditionalFormatting sqref="K17:K18">
    <cfRule type="expression" dxfId="1492" priority="190">
      <formula>OR(L17&gt;=0.5,M17&lt;=5)</formula>
    </cfRule>
    <cfRule type="expression" dxfId="1491" priority="192">
      <formula>M17&lt;=1</formula>
    </cfRule>
  </conditionalFormatting>
  <conditionalFormatting sqref="L17:L18">
    <cfRule type="expression" dxfId="1490" priority="193">
      <formula>OR(L17&gt;=0.5,M17&lt;=5)</formula>
    </cfRule>
    <cfRule type="expression" dxfId="1489" priority="194">
      <formula>M17&lt;=1</formula>
    </cfRule>
  </conditionalFormatting>
  <conditionalFormatting sqref="I17:I18">
    <cfRule type="expression" dxfId="1488" priority="188">
      <formula>I17&lt;=1</formula>
    </cfRule>
  </conditionalFormatting>
  <conditionalFormatting sqref="F17:F18">
    <cfRule type="expression" dxfId="1487" priority="182">
      <formula>OR(H17&gt;=0.5,I17&lt;=5)</formula>
    </cfRule>
    <cfRule type="expression" dxfId="1486" priority="184">
      <formula>I17&lt;=1</formula>
    </cfRule>
  </conditionalFormatting>
  <conditionalFormatting sqref="G17:G18">
    <cfRule type="expression" dxfId="1485" priority="183">
      <formula>OR(H17&gt;=0.5,I17&lt;=5)</formula>
    </cfRule>
    <cfRule type="expression" dxfId="1484" priority="185">
      <formula>I17&lt;=1</formula>
    </cfRule>
  </conditionalFormatting>
  <conditionalFormatting sqref="H17:H18">
    <cfRule type="expression" dxfId="1483" priority="186">
      <formula>OR(H17&gt;=0.5,I17&lt;=5)</formula>
    </cfRule>
    <cfRule type="expression" dxfId="1482" priority="187">
      <formula>I17&lt;=1</formula>
    </cfRule>
  </conditionalFormatting>
  <conditionalFormatting sqref="E17:E18">
    <cfRule type="expression" dxfId="1481" priority="181">
      <formula>E17&lt;=1</formula>
    </cfRule>
  </conditionalFormatting>
  <conditionalFormatting sqref="B17:B18">
    <cfRule type="expression" dxfId="1480" priority="175">
      <formula>OR(D17&gt;=0.5,E17&lt;=5)</formula>
    </cfRule>
    <cfRule type="expression" dxfId="1479" priority="177">
      <formula>E17&lt;=1</formula>
    </cfRule>
  </conditionalFormatting>
  <conditionalFormatting sqref="C17:C18">
    <cfRule type="expression" dxfId="1478" priority="176">
      <formula>OR(D17&gt;=0.5,E17&lt;=5)</formula>
    </cfRule>
    <cfRule type="expression" dxfId="1477" priority="178">
      <formula>E17&lt;=1</formula>
    </cfRule>
  </conditionalFormatting>
  <conditionalFormatting sqref="D17:D18">
    <cfRule type="expression" dxfId="1476" priority="179">
      <formula>OR(D17&gt;=0.5,E17&lt;=5)</formula>
    </cfRule>
    <cfRule type="expression" dxfId="1475" priority="180">
      <formula>E17&lt;=1</formula>
    </cfRule>
  </conditionalFormatting>
  <conditionalFormatting sqref="Y20">
    <cfRule type="expression" dxfId="1474" priority="174">
      <formula>Y20&lt;=1</formula>
    </cfRule>
  </conditionalFormatting>
  <conditionalFormatting sqref="V20">
    <cfRule type="expression" dxfId="1473" priority="168">
      <formula>OR(X20&gt;=0.5,Y20&lt;=5)</formula>
    </cfRule>
    <cfRule type="expression" dxfId="1472" priority="170">
      <formula>Y20&lt;=1</formula>
    </cfRule>
  </conditionalFormatting>
  <conditionalFormatting sqref="W20">
    <cfRule type="expression" dxfId="1471" priority="169">
      <formula>OR(X20&gt;=0.5,Y20&lt;=5)</formula>
    </cfRule>
    <cfRule type="expression" dxfId="1470" priority="171">
      <formula>Y20&lt;=1</formula>
    </cfRule>
  </conditionalFormatting>
  <conditionalFormatting sqref="X20">
    <cfRule type="expression" dxfId="1469" priority="172">
      <formula>OR(X20&gt;=0.5,Y20&lt;=5)</formula>
    </cfRule>
    <cfRule type="expression" dxfId="1468" priority="173">
      <formula>Y20&lt;=1</formula>
    </cfRule>
  </conditionalFormatting>
  <conditionalFormatting sqref="Y19:Y20">
    <cfRule type="expression" dxfId="1467" priority="163">
      <formula>Y19&lt;=1</formula>
    </cfRule>
  </conditionalFormatting>
  <conditionalFormatting sqref="V19:V20">
    <cfRule type="expression" dxfId="1466" priority="166">
      <formula>OR(X19&gt;=0.5,Y19&lt;=5)</formula>
    </cfRule>
    <cfRule type="expression" dxfId="1465" priority="167">
      <formula>Y19&lt;=1</formula>
    </cfRule>
  </conditionalFormatting>
  <conditionalFormatting sqref="W19:W20">
    <cfRule type="expression" dxfId="1464" priority="164">
      <formula>OR(X19&gt;=0.5,Y19&lt;=5)</formula>
    </cfRule>
    <cfRule type="expression" dxfId="1463" priority="165">
      <formula>Y19&lt;=1</formula>
    </cfRule>
  </conditionalFormatting>
  <conditionalFormatting sqref="X19:X20">
    <cfRule type="expression" dxfId="1462" priority="161">
      <formula>OR(X19&gt;=0.5,Y19&lt;=5)</formula>
    </cfRule>
    <cfRule type="expression" dxfId="1461" priority="162">
      <formula>Y19&lt;=1</formula>
    </cfRule>
  </conditionalFormatting>
  <conditionalFormatting sqref="AK5:AK16">
    <cfRule type="expression" dxfId="1460" priority="159">
      <formula>OR(AJ5&gt;=0.5,AK5&lt;=5)</formula>
    </cfRule>
    <cfRule type="expression" dxfId="1459" priority="160">
      <formula>AK5&lt;=1</formula>
    </cfRule>
  </conditionalFormatting>
  <conditionalFormatting sqref="AH19:AH21">
    <cfRule type="expression" dxfId="1458" priority="153">
      <formula>OR(AJ19&gt;=0.5,AK19&lt;=5)</formula>
    </cfRule>
    <cfRule type="expression" dxfId="1457" priority="155">
      <formula>AK19&lt;=1</formula>
    </cfRule>
  </conditionalFormatting>
  <conditionalFormatting sqref="AI19:AI21">
    <cfRule type="expression" dxfId="1456" priority="154">
      <formula>OR(AJ19&gt;=0.5,AK19&lt;=5)</formula>
    </cfRule>
    <cfRule type="expression" dxfId="1455" priority="156">
      <formula>AK19&lt;=1</formula>
    </cfRule>
  </conditionalFormatting>
  <conditionalFormatting sqref="AJ19:AJ21">
    <cfRule type="expression" dxfId="1454" priority="157">
      <formula>OR(AJ19&gt;=0.5,AK19&lt;=5)</formula>
    </cfRule>
    <cfRule type="expression" dxfId="1453" priority="158">
      <formula>AK19&lt;=1</formula>
    </cfRule>
  </conditionalFormatting>
  <conditionalFormatting sqref="AK19:AK21">
    <cfRule type="expression" dxfId="1452" priority="151">
      <formula>OR(AJ19&gt;=0.5,AK19&lt;=5)</formula>
    </cfRule>
    <cfRule type="expression" dxfId="1451" priority="152">
      <formula>AK19&lt;=1</formula>
    </cfRule>
  </conditionalFormatting>
  <conditionalFormatting sqref="AD5:AD16">
    <cfRule type="expression" dxfId="1450" priority="145">
      <formula>OR(AF5&gt;=0.5,AG5&lt;=5)</formula>
    </cfRule>
    <cfRule type="expression" dxfId="1449" priority="147">
      <formula>AG5&lt;=1</formula>
    </cfRule>
  </conditionalFormatting>
  <conditionalFormatting sqref="AE5:AE16">
    <cfRule type="expression" dxfId="1448" priority="146">
      <formula>OR(AF5&gt;=0.5,AG5&lt;=5)</formula>
    </cfRule>
    <cfRule type="expression" dxfId="1447" priority="148">
      <formula>AG5&lt;=1</formula>
    </cfRule>
  </conditionalFormatting>
  <conditionalFormatting sqref="AF5:AF16">
    <cfRule type="expression" dxfId="1446" priority="149">
      <formula>OR(AF5&gt;=0.5,AG5&lt;=5)</formula>
    </cfRule>
    <cfRule type="expression" dxfId="1445" priority="150">
      <formula>AG5&lt;=1</formula>
    </cfRule>
  </conditionalFormatting>
  <conditionalFormatting sqref="AG5:AG16">
    <cfRule type="expression" dxfId="1444" priority="143">
      <formula>OR(AF5&gt;=0.5,AG5&lt;=5)</formula>
    </cfRule>
    <cfRule type="expression" dxfId="1443" priority="144">
      <formula>AG5&lt;=1</formula>
    </cfRule>
  </conditionalFormatting>
  <conditionalFormatting sqref="Z5:Z16">
    <cfRule type="expression" dxfId="1442" priority="137">
      <formula>OR(AB5&gt;=0.5,AC5&lt;=5)</formula>
    </cfRule>
    <cfRule type="expression" dxfId="1441" priority="139">
      <formula>AC5&lt;=1</formula>
    </cfRule>
  </conditionalFormatting>
  <conditionalFormatting sqref="AA5:AA16">
    <cfRule type="expression" dxfId="1440" priority="138">
      <formula>OR(AB5&gt;=0.5,AC5&lt;=5)</formula>
    </cfRule>
    <cfRule type="expression" dxfId="1439" priority="140">
      <formula>AC5&lt;=1</formula>
    </cfRule>
  </conditionalFormatting>
  <conditionalFormatting sqref="AB5:AB16">
    <cfRule type="expression" dxfId="1438" priority="141">
      <formula>OR(AB5&gt;=0.5,AC5&lt;=5)</formula>
    </cfRule>
    <cfRule type="expression" dxfId="1437" priority="142">
      <formula>AC5&lt;=1</formula>
    </cfRule>
  </conditionalFormatting>
  <conditionalFormatting sqref="AC5:AC16">
    <cfRule type="expression" dxfId="1436" priority="135">
      <formula>OR(AB5&gt;=0.5,AC5&lt;=5)</formula>
    </cfRule>
    <cfRule type="expression" dxfId="1435" priority="136">
      <formula>AC5&lt;=1</formula>
    </cfRule>
  </conditionalFormatting>
  <conditionalFormatting sqref="B16">
    <cfRule type="expression" dxfId="1434" priority="129">
      <formula>OR(D16&gt;=0.5,E16&lt;=5)</formula>
    </cfRule>
    <cfRule type="expression" dxfId="1433" priority="131">
      <formula>E16&lt;=1</formula>
    </cfRule>
  </conditionalFormatting>
  <conditionalFormatting sqref="C16">
    <cfRule type="expression" dxfId="1432" priority="130">
      <formula>OR(D16&gt;=0.5,E16&lt;=5)</formula>
    </cfRule>
    <cfRule type="expression" dxfId="1431" priority="132">
      <formula>E16&lt;=1</formula>
    </cfRule>
  </conditionalFormatting>
  <conditionalFormatting sqref="D16">
    <cfRule type="expression" dxfId="1430" priority="133">
      <formula>OR(D16&gt;=0.5,E16&lt;=5)</formula>
    </cfRule>
    <cfRule type="expression" dxfId="1429" priority="134">
      <formula>E16&lt;=1</formula>
    </cfRule>
  </conditionalFormatting>
  <conditionalFormatting sqref="E5:E16">
    <cfRule type="expression" dxfId="1428" priority="127">
      <formula>OR(D5&gt;=0.5,E5&lt;=5)</formula>
    </cfRule>
    <cfRule type="expression" dxfId="1427" priority="128">
      <formula>E5&lt;=1</formula>
    </cfRule>
  </conditionalFormatting>
  <conditionalFormatting sqref="F16">
    <cfRule type="expression" dxfId="1426" priority="121">
      <formula>OR(H16&gt;=0.5,I16&lt;=5)</formula>
    </cfRule>
    <cfRule type="expression" dxfId="1425" priority="123">
      <formula>I16&lt;=1</formula>
    </cfRule>
  </conditionalFormatting>
  <conditionalFormatting sqref="G16">
    <cfRule type="expression" dxfId="1424" priority="122">
      <formula>OR(H16&gt;=0.5,I16&lt;=5)</formula>
    </cfRule>
    <cfRule type="expression" dxfId="1423" priority="124">
      <formula>I16&lt;=1</formula>
    </cfRule>
  </conditionalFormatting>
  <conditionalFormatting sqref="H16">
    <cfRule type="expression" dxfId="1422" priority="125">
      <formula>OR(H16&gt;=0.5,I16&lt;=5)</formula>
    </cfRule>
    <cfRule type="expression" dxfId="1421" priority="126">
      <formula>I16&lt;=1</formula>
    </cfRule>
  </conditionalFormatting>
  <conditionalFormatting sqref="I5:I16">
    <cfRule type="expression" dxfId="1420" priority="119">
      <formula>OR(H5&gt;=0.5,I5&lt;=5)</formula>
    </cfRule>
    <cfRule type="expression" dxfId="1419" priority="120">
      <formula>I5&lt;=1</formula>
    </cfRule>
  </conditionalFormatting>
  <conditionalFormatting sqref="J16">
    <cfRule type="expression" dxfId="1418" priority="113">
      <formula>OR(L16&gt;=0.5,M16&lt;=5)</formula>
    </cfRule>
    <cfRule type="expression" dxfId="1417" priority="115">
      <formula>M16&lt;=1</formula>
    </cfRule>
  </conditionalFormatting>
  <conditionalFormatting sqref="K16">
    <cfRule type="expression" dxfId="1416" priority="114">
      <formula>OR(L16&gt;=0.5,M16&lt;=5)</formula>
    </cfRule>
    <cfRule type="expression" dxfId="1415" priority="116">
      <formula>M16&lt;=1</formula>
    </cfRule>
  </conditionalFormatting>
  <conditionalFormatting sqref="L16">
    <cfRule type="expression" dxfId="1414" priority="117">
      <formula>OR(L16&gt;=0.5,M16&lt;=5)</formula>
    </cfRule>
    <cfRule type="expression" dxfId="1413" priority="118">
      <formula>M16&lt;=1</formula>
    </cfRule>
  </conditionalFormatting>
  <conditionalFormatting sqref="M5:M16">
    <cfRule type="expression" dxfId="1412" priority="111">
      <formula>OR(L5&gt;=0.5,M5&lt;=5)</formula>
    </cfRule>
    <cfRule type="expression" dxfId="1411" priority="112">
      <formula>M5&lt;=1</formula>
    </cfRule>
  </conditionalFormatting>
  <conditionalFormatting sqref="N16">
    <cfRule type="expression" dxfId="1410" priority="105">
      <formula>OR(P16&gt;=0.5,Q16&lt;=5)</formula>
    </cfRule>
    <cfRule type="expression" dxfId="1409" priority="107">
      <formula>Q16&lt;=1</formula>
    </cfRule>
  </conditionalFormatting>
  <conditionalFormatting sqref="O16">
    <cfRule type="expression" dxfId="1408" priority="106">
      <formula>OR(P16&gt;=0.5,Q16&lt;=5)</formula>
    </cfRule>
    <cfRule type="expression" dxfId="1407" priority="108">
      <formula>Q16&lt;=1</formula>
    </cfRule>
  </conditionalFormatting>
  <conditionalFormatting sqref="P16">
    <cfRule type="expression" dxfId="1406" priority="109">
      <formula>OR(P16&gt;=0.5,Q16&lt;=5)</formula>
    </cfRule>
    <cfRule type="expression" dxfId="1405" priority="110">
      <formula>Q16&lt;=1</formula>
    </cfRule>
  </conditionalFormatting>
  <conditionalFormatting sqref="Q5:Q16">
    <cfRule type="expression" dxfId="1404" priority="103">
      <formula>OR(P5&gt;=0.5,Q5&lt;=5)</formula>
    </cfRule>
    <cfRule type="expression" dxfId="1403" priority="104">
      <formula>Q5&lt;=1</formula>
    </cfRule>
  </conditionalFormatting>
  <conditionalFormatting sqref="R16">
    <cfRule type="expression" dxfId="1402" priority="97">
      <formula>OR(T16&gt;=0.5,U16&lt;=5)</formula>
    </cfRule>
    <cfRule type="expression" dxfId="1401" priority="99">
      <formula>U16&lt;=1</formula>
    </cfRule>
  </conditionalFormatting>
  <conditionalFormatting sqref="S16">
    <cfRule type="expression" dxfId="1400" priority="98">
      <formula>OR(T16&gt;=0.5,U16&lt;=5)</formula>
    </cfRule>
    <cfRule type="expression" dxfId="1399" priority="100">
      <formula>U16&lt;=1</formula>
    </cfRule>
  </conditionalFormatting>
  <conditionalFormatting sqref="T16">
    <cfRule type="expression" dxfId="1398" priority="101">
      <formula>OR(T16&gt;=0.5,U16&lt;=5)</formula>
    </cfRule>
    <cfRule type="expression" dxfId="1397" priority="102">
      <formula>U16&lt;=1</formula>
    </cfRule>
  </conditionalFormatting>
  <conditionalFormatting sqref="U5:U16">
    <cfRule type="expression" dxfId="1396" priority="95">
      <formula>OR(T5&gt;=0.5,U5&lt;=5)</formula>
    </cfRule>
    <cfRule type="expression" dxfId="1395" priority="96">
      <formula>U5&lt;=1</formula>
    </cfRule>
  </conditionalFormatting>
  <conditionalFormatting sqref="V5:V16">
    <cfRule type="expression" dxfId="1394" priority="89">
      <formula>OR(X5&gt;=0.5,Y5&lt;=5)</formula>
    </cfRule>
    <cfRule type="expression" dxfId="1393" priority="91">
      <formula>Y5&lt;=1</formula>
    </cfRule>
  </conditionalFormatting>
  <conditionalFormatting sqref="W5:W16">
    <cfRule type="expression" dxfId="1392" priority="90">
      <formula>OR(X5&gt;=0.5,Y5&lt;=5)</formula>
    </cfRule>
    <cfRule type="expression" dxfId="1391" priority="92">
      <formula>Y5&lt;=1</formula>
    </cfRule>
  </conditionalFormatting>
  <conditionalFormatting sqref="X5:X16">
    <cfRule type="expression" dxfId="1390" priority="93">
      <formula>OR(X5&gt;=0.5,Y5&lt;=5)</formula>
    </cfRule>
    <cfRule type="expression" dxfId="1389" priority="94">
      <formula>Y5&lt;=1</formula>
    </cfRule>
  </conditionalFormatting>
  <conditionalFormatting sqref="Y5:Y16">
    <cfRule type="expression" dxfId="1388" priority="87">
      <formula>OR(X5&gt;=0.5,Y5&lt;=5)</formula>
    </cfRule>
    <cfRule type="expression" dxfId="1387" priority="88">
      <formula>Y5&lt;=1</formula>
    </cfRule>
  </conditionalFormatting>
  <conditionalFormatting sqref="Z19:Z21">
    <cfRule type="expression" dxfId="1386" priority="81">
      <formula>OR(AB19&gt;=0.5,AC19&lt;=5)</formula>
    </cfRule>
    <cfRule type="expression" dxfId="1385" priority="83">
      <formula>AC19&lt;=1</formula>
    </cfRule>
  </conditionalFormatting>
  <conditionalFormatting sqref="AA19:AA21">
    <cfRule type="expression" dxfId="1384" priority="82">
      <formula>OR(AB19&gt;=0.5,AC19&lt;=5)</formula>
    </cfRule>
    <cfRule type="expression" dxfId="1383" priority="84">
      <formula>AC19&lt;=1</formula>
    </cfRule>
  </conditionalFormatting>
  <conditionalFormatting sqref="AB19:AB21">
    <cfRule type="expression" dxfId="1382" priority="85">
      <formula>OR(AB19&gt;=0.5,AC19&lt;=5)</formula>
    </cfRule>
    <cfRule type="expression" dxfId="1381" priority="86">
      <formula>AC19&lt;=1</formula>
    </cfRule>
  </conditionalFormatting>
  <conditionalFormatting sqref="AC19:AC21">
    <cfRule type="expression" dxfId="1380" priority="79">
      <formula>OR(AB19&gt;=0.5,AC19&lt;=5)</formula>
    </cfRule>
    <cfRule type="expression" dxfId="1379" priority="80">
      <formula>AC19&lt;=1</formula>
    </cfRule>
  </conditionalFormatting>
  <conditionalFormatting sqref="AD19:AD21">
    <cfRule type="expression" dxfId="1378" priority="73">
      <formula>OR(AF19&gt;=0.5,AG19&lt;=5)</formula>
    </cfRule>
    <cfRule type="expression" dxfId="1377" priority="75">
      <formula>AG19&lt;=1</formula>
    </cfRule>
  </conditionalFormatting>
  <conditionalFormatting sqref="AE19:AE21">
    <cfRule type="expression" dxfId="1376" priority="74">
      <formula>OR(AF19&gt;=0.5,AG19&lt;=5)</formula>
    </cfRule>
    <cfRule type="expression" dxfId="1375" priority="76">
      <formula>AG19&lt;=1</formula>
    </cfRule>
  </conditionalFormatting>
  <conditionalFormatting sqref="AF19:AF21">
    <cfRule type="expression" dxfId="1374" priority="77">
      <formula>OR(AF19&gt;=0.5,AG19&lt;=5)</formula>
    </cfRule>
    <cfRule type="expression" dxfId="1373" priority="78">
      <formula>AG19&lt;=1</formula>
    </cfRule>
  </conditionalFormatting>
  <conditionalFormatting sqref="AG19:AG21">
    <cfRule type="expression" dxfId="1372" priority="71">
      <formula>OR(AF19&gt;=0.5,AG19&lt;=5)</formula>
    </cfRule>
    <cfRule type="expression" dxfId="1371" priority="72">
      <formula>AG19&lt;=1</formula>
    </cfRule>
  </conditionalFormatting>
  <conditionalFormatting sqref="R19:R21">
    <cfRule type="expression" dxfId="1370" priority="65">
      <formula>OR(T19&gt;=0.5,U19&lt;=5)</formula>
    </cfRule>
    <cfRule type="expression" dxfId="1369" priority="67">
      <formula>U19&lt;=1</formula>
    </cfRule>
  </conditionalFormatting>
  <conditionalFormatting sqref="S19:S21">
    <cfRule type="expression" dxfId="1368" priority="66">
      <formula>OR(T19&gt;=0.5,U19&lt;=5)</formula>
    </cfRule>
    <cfRule type="expression" dxfId="1367" priority="68">
      <formula>U19&lt;=1</formula>
    </cfRule>
  </conditionalFormatting>
  <conditionalFormatting sqref="T19:T21">
    <cfRule type="expression" dxfId="1366" priority="69">
      <formula>OR(T19&gt;=0.5,U19&lt;=5)</formula>
    </cfRule>
    <cfRule type="expression" dxfId="1365" priority="70">
      <formula>U19&lt;=1</formula>
    </cfRule>
  </conditionalFormatting>
  <conditionalFormatting sqref="U19:U21">
    <cfRule type="expression" dxfId="1364" priority="63">
      <formula>OR(T19&gt;=0.5,U19&lt;=5)</formula>
    </cfRule>
    <cfRule type="expression" dxfId="1363" priority="64">
      <formula>U19&lt;=1</formula>
    </cfRule>
  </conditionalFormatting>
  <conditionalFormatting sqref="B19:B21">
    <cfRule type="expression" dxfId="1362" priority="57">
      <formula>OR(D19&gt;=0.5,E19&lt;=5)</formula>
    </cfRule>
    <cfRule type="expression" dxfId="1361" priority="59">
      <formula>E19&lt;=1</formula>
    </cfRule>
  </conditionalFormatting>
  <conditionalFormatting sqref="C19:C21">
    <cfRule type="expression" dxfId="1360" priority="58">
      <formula>OR(D19&gt;=0.5,E19&lt;=5)</formula>
    </cfRule>
    <cfRule type="expression" dxfId="1359" priority="60">
      <formula>E19&lt;=1</formula>
    </cfRule>
  </conditionalFormatting>
  <conditionalFormatting sqref="D19:D21">
    <cfRule type="expression" dxfId="1358" priority="61">
      <formula>OR(D19&gt;=0.5,E19&lt;=5)</formula>
    </cfRule>
    <cfRule type="expression" dxfId="1357" priority="62">
      <formula>E19&lt;=1</formula>
    </cfRule>
  </conditionalFormatting>
  <conditionalFormatting sqref="E19:E21">
    <cfRule type="expression" dxfId="1356" priority="55">
      <formula>OR(D19&gt;=0.5,E19&lt;=5)</formula>
    </cfRule>
    <cfRule type="expression" dxfId="1355" priority="56">
      <formula>E19&lt;=1</formula>
    </cfRule>
  </conditionalFormatting>
  <conditionalFormatting sqref="F19:F21">
    <cfRule type="expression" dxfId="1354" priority="49">
      <formula>OR(H19&gt;=0.5,I19&lt;=5)</formula>
    </cfRule>
    <cfRule type="expression" dxfId="1353" priority="51">
      <formula>I19&lt;=1</formula>
    </cfRule>
  </conditionalFormatting>
  <conditionalFormatting sqref="G19:G21">
    <cfRule type="expression" dxfId="1352" priority="50">
      <formula>OR(H19&gt;=0.5,I19&lt;=5)</formula>
    </cfRule>
    <cfRule type="expression" dxfId="1351" priority="52">
      <formula>I19&lt;=1</formula>
    </cfRule>
  </conditionalFormatting>
  <conditionalFormatting sqref="H19:H21">
    <cfRule type="expression" dxfId="1350" priority="53">
      <formula>OR(H19&gt;=0.5,I19&lt;=5)</formula>
    </cfRule>
    <cfRule type="expression" dxfId="1349" priority="54">
      <formula>I19&lt;=1</formula>
    </cfRule>
  </conditionalFormatting>
  <conditionalFormatting sqref="I19:I21">
    <cfRule type="expression" dxfId="1348" priority="47">
      <formula>OR(H19&gt;=0.5,I19&lt;=5)</formula>
    </cfRule>
    <cfRule type="expression" dxfId="1347" priority="48">
      <formula>I19&lt;=1</formula>
    </cfRule>
  </conditionalFormatting>
  <conditionalFormatting sqref="J19:J21">
    <cfRule type="expression" dxfId="1346" priority="41">
      <formula>OR(L19&gt;=0.5,M19&lt;=5)</formula>
    </cfRule>
    <cfRule type="expression" dxfId="1345" priority="43">
      <formula>M19&lt;=1</formula>
    </cfRule>
  </conditionalFormatting>
  <conditionalFormatting sqref="K19:K21">
    <cfRule type="expression" dxfId="1344" priority="42">
      <formula>OR(L19&gt;=0.5,M19&lt;=5)</formula>
    </cfRule>
    <cfRule type="expression" dxfId="1343" priority="44">
      <formula>M19&lt;=1</formula>
    </cfRule>
  </conditionalFormatting>
  <conditionalFormatting sqref="L19:L21">
    <cfRule type="expression" dxfId="1342" priority="45">
      <formula>OR(L19&gt;=0.5,M19&lt;=5)</formula>
    </cfRule>
    <cfRule type="expression" dxfId="1341" priority="46">
      <formula>M19&lt;=1</formula>
    </cfRule>
  </conditionalFormatting>
  <conditionalFormatting sqref="M19:M21">
    <cfRule type="expression" dxfId="1340" priority="39">
      <formula>OR(L19&gt;=0.5,M19&lt;=5)</formula>
    </cfRule>
    <cfRule type="expression" dxfId="1339" priority="40">
      <formula>M19&lt;=1</formula>
    </cfRule>
  </conditionalFormatting>
  <conditionalFormatting sqref="N19:N21">
    <cfRule type="expression" dxfId="1338" priority="33">
      <formula>OR(P19&gt;=0.5,Q19&lt;=5)</formula>
    </cfRule>
    <cfRule type="expression" dxfId="1337" priority="35">
      <formula>Q19&lt;=1</formula>
    </cfRule>
  </conditionalFormatting>
  <conditionalFormatting sqref="O19:O21">
    <cfRule type="expression" dxfId="1336" priority="34">
      <formula>OR(P19&gt;=0.5,Q19&lt;=5)</formula>
    </cfRule>
    <cfRule type="expression" dxfId="1335" priority="36">
      <formula>Q19&lt;=1</formula>
    </cfRule>
  </conditionalFormatting>
  <conditionalFormatting sqref="P19:P21">
    <cfRule type="expression" dxfId="1334" priority="37">
      <formula>OR(P19&gt;=0.5,Q19&lt;=5)</formula>
    </cfRule>
    <cfRule type="expression" dxfId="1333" priority="38">
      <formula>Q19&lt;=1</formula>
    </cfRule>
  </conditionalFormatting>
  <conditionalFormatting sqref="Q19:Q21">
    <cfRule type="expression" dxfId="1332" priority="31">
      <formula>OR(P19&gt;=0.5,Q19&lt;=5)</formula>
    </cfRule>
    <cfRule type="expression" dxfId="1331" priority="32">
      <formula>Q19&lt;=1</formula>
    </cfRule>
  </conditionalFormatting>
  <conditionalFormatting sqref="R5:R15">
    <cfRule type="expression" dxfId="1330" priority="25">
      <formula>OR(T5&gt;=0.5,U5&lt;=5)</formula>
    </cfRule>
    <cfRule type="expression" dxfId="1329" priority="27">
      <formula>U5&lt;=1</formula>
    </cfRule>
  </conditionalFormatting>
  <conditionalFormatting sqref="S5:S15">
    <cfRule type="expression" dxfId="1328" priority="26">
      <formula>OR(T5&gt;=0.5,U5&lt;=5)</formula>
    </cfRule>
    <cfRule type="expression" dxfId="1327" priority="28">
      <formula>U5&lt;=1</formula>
    </cfRule>
  </conditionalFormatting>
  <conditionalFormatting sqref="T5:T15">
    <cfRule type="expression" dxfId="1326" priority="29">
      <formula>OR(T5&gt;=0.5,U5&lt;=5)</formula>
    </cfRule>
    <cfRule type="expression" dxfId="1325" priority="30">
      <formula>U5&lt;=1</formula>
    </cfRule>
  </conditionalFormatting>
  <conditionalFormatting sqref="N5:N15">
    <cfRule type="expression" dxfId="1324" priority="19">
      <formula>OR(P5&gt;=0.5,Q5&lt;=5)</formula>
    </cfRule>
    <cfRule type="expression" dxfId="1323" priority="21">
      <formula>Q5&lt;=1</formula>
    </cfRule>
  </conditionalFormatting>
  <conditionalFormatting sqref="O5:O15">
    <cfRule type="expression" dxfId="1322" priority="20">
      <formula>OR(P5&gt;=0.5,Q5&lt;=5)</formula>
    </cfRule>
    <cfRule type="expression" dxfId="1321" priority="22">
      <formula>Q5&lt;=1</formula>
    </cfRule>
  </conditionalFormatting>
  <conditionalFormatting sqref="P5:P15">
    <cfRule type="expression" dxfId="1320" priority="23">
      <formula>OR(P5&gt;=0.5,Q5&lt;=5)</formula>
    </cfRule>
    <cfRule type="expression" dxfId="1319" priority="24">
      <formula>Q5&lt;=1</formula>
    </cfRule>
  </conditionalFormatting>
  <conditionalFormatting sqref="B5:B15">
    <cfRule type="expression" dxfId="1318" priority="13">
      <formula>OR(D5&gt;=0.5,E5&lt;=5)</formula>
    </cfRule>
    <cfRule type="expression" dxfId="1317" priority="15">
      <formula>E5&lt;=1</formula>
    </cfRule>
  </conditionalFormatting>
  <conditionalFormatting sqref="C5:C15">
    <cfRule type="expression" dxfId="1316" priority="14">
      <formula>OR(D5&gt;=0.5,E5&lt;=5)</formula>
    </cfRule>
    <cfRule type="expression" dxfId="1315" priority="16">
      <formula>E5&lt;=1</formula>
    </cfRule>
  </conditionalFormatting>
  <conditionalFormatting sqref="D5:D15">
    <cfRule type="expression" dxfId="1314" priority="17">
      <formula>OR(D5&gt;=0.5,E5&lt;=5)</formula>
    </cfRule>
    <cfRule type="expression" dxfId="1313" priority="18">
      <formula>E5&lt;=1</formula>
    </cfRule>
  </conditionalFormatting>
  <conditionalFormatting sqref="F5:F15">
    <cfRule type="expression" dxfId="1312" priority="7">
      <formula>OR(H5&gt;=0.5,I5&lt;=5)</formula>
    </cfRule>
    <cfRule type="expression" dxfId="1311" priority="9">
      <formula>I5&lt;=1</formula>
    </cfRule>
  </conditionalFormatting>
  <conditionalFormatting sqref="G5:G15">
    <cfRule type="expression" dxfId="1310" priority="8">
      <formula>OR(H5&gt;=0.5,I5&lt;=5)</formula>
    </cfRule>
    <cfRule type="expression" dxfId="1309" priority="10">
      <formula>I5&lt;=1</formula>
    </cfRule>
  </conditionalFormatting>
  <conditionalFormatting sqref="H5:H15">
    <cfRule type="expression" dxfId="1308" priority="11">
      <formula>OR(H5&gt;=0.5,I5&lt;=5)</formula>
    </cfRule>
    <cfRule type="expression" dxfId="1307" priority="12">
      <formula>I5&lt;=1</formula>
    </cfRule>
  </conditionalFormatting>
  <conditionalFormatting sqref="J5:J15">
    <cfRule type="expression" dxfId="1306" priority="1">
      <formula>OR(L5&gt;=0.5,M5&lt;=5)</formula>
    </cfRule>
    <cfRule type="expression" dxfId="1305" priority="3">
      <formula>M5&lt;=1</formula>
    </cfRule>
  </conditionalFormatting>
  <conditionalFormatting sqref="K5:K15">
    <cfRule type="expression" dxfId="1304" priority="2">
      <formula>OR(L5&gt;=0.5,M5&lt;=5)</formula>
    </cfRule>
    <cfRule type="expression" dxfId="1303" priority="4">
      <formula>M5&lt;=1</formula>
    </cfRule>
  </conditionalFormatting>
  <conditionalFormatting sqref="L5:L15">
    <cfRule type="expression" dxfId="1302" priority="5">
      <formula>OR(L5&gt;=0.5,M5&lt;=5)</formula>
    </cfRule>
    <cfRule type="expression" dxfId="1301" priority="6">
      <formula>M5&lt;=1</formula>
    </cfRule>
  </conditionalFormatting>
  <hyperlinks>
    <hyperlink ref="A25" location="Überblick!A1" display="zurück zur Übersicht" xr:uid="{54C1D923-04D0-4C3D-9668-B77A6D72F961}"/>
  </hyperlink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BADA-0A42-4354-8610-2724DBE7406B}">
  <sheetPr codeName="Tabelle4"/>
  <dimension ref="A1:T25"/>
  <sheetViews>
    <sheetView workbookViewId="0">
      <selection activeCell="A25" sqref="A25"/>
    </sheetView>
  </sheetViews>
  <sheetFormatPr baseColWidth="10" defaultRowHeight="15" x14ac:dyDescent="0.25"/>
  <cols>
    <col min="1" max="1" width="63.140625" customWidth="1"/>
  </cols>
  <sheetData>
    <row r="1" spans="1:20" s="4" customFormat="1" ht="36.75" customHeight="1" x14ac:dyDescent="0.25">
      <c r="A1" s="1" t="s">
        <v>42</v>
      </c>
      <c r="B1" s="2"/>
      <c r="C1" s="2"/>
      <c r="D1" s="2"/>
      <c r="E1" s="2"/>
      <c r="F1" s="2"/>
      <c r="G1" s="2"/>
      <c r="H1" s="2"/>
      <c r="I1" s="2"/>
      <c r="J1" s="2"/>
      <c r="K1" s="2"/>
      <c r="L1" s="2"/>
      <c r="M1" s="2"/>
      <c r="N1" s="2"/>
      <c r="O1" s="2"/>
      <c r="P1" s="2"/>
      <c r="Q1" s="3"/>
    </row>
    <row r="2" spans="1:20" s="4" customFormat="1" ht="36.75" customHeight="1" x14ac:dyDescent="0.25">
      <c r="A2" s="5" t="s">
        <v>43</v>
      </c>
      <c r="B2" s="167" t="s">
        <v>0</v>
      </c>
      <c r="C2" s="168"/>
      <c r="D2" s="168"/>
      <c r="E2" s="168"/>
      <c r="F2" s="168"/>
      <c r="G2" s="168"/>
      <c r="H2" s="168"/>
      <c r="I2" s="168"/>
      <c r="J2" s="168"/>
      <c r="K2" s="168"/>
      <c r="L2" s="168"/>
      <c r="M2" s="169"/>
      <c r="N2" s="170"/>
      <c r="O2" s="171"/>
      <c r="P2" s="171"/>
      <c r="Q2" s="172"/>
    </row>
    <row r="3" spans="1:20" s="4" customFormat="1" ht="50.25" customHeight="1" x14ac:dyDescent="0.25">
      <c r="A3" s="5" t="s">
        <v>47</v>
      </c>
      <c r="B3" s="11" t="s">
        <v>1</v>
      </c>
      <c r="C3" s="12"/>
      <c r="D3" s="12"/>
      <c r="E3" s="13"/>
      <c r="F3" s="11" t="s">
        <v>33</v>
      </c>
      <c r="G3" s="12"/>
      <c r="H3" s="12"/>
      <c r="I3" s="13"/>
      <c r="J3" s="11" t="s">
        <v>3</v>
      </c>
      <c r="K3" s="12"/>
      <c r="L3" s="12"/>
      <c r="M3" s="14"/>
      <c r="N3" s="170" t="s">
        <v>4</v>
      </c>
      <c r="O3" s="171"/>
      <c r="P3" s="171"/>
      <c r="Q3" s="172"/>
    </row>
    <row r="4" spans="1:20" s="4" customFormat="1" ht="50.25" customHeight="1" x14ac:dyDescent="0.25">
      <c r="A4" s="5" t="s">
        <v>5</v>
      </c>
      <c r="B4" s="17" t="s">
        <v>44</v>
      </c>
      <c r="C4" s="18" t="s">
        <v>36</v>
      </c>
      <c r="D4" s="18" t="s">
        <v>8</v>
      </c>
      <c r="E4" s="19" t="s">
        <v>9</v>
      </c>
      <c r="F4" s="17" t="s">
        <v>44</v>
      </c>
      <c r="G4" s="18" t="s">
        <v>37</v>
      </c>
      <c r="H4" s="18" t="s">
        <v>8</v>
      </c>
      <c r="I4" s="19" t="s">
        <v>9</v>
      </c>
      <c r="J4" s="17" t="s">
        <v>44</v>
      </c>
      <c r="K4" s="18" t="s">
        <v>37</v>
      </c>
      <c r="L4" s="18" t="s">
        <v>8</v>
      </c>
      <c r="M4" s="20" t="s">
        <v>9</v>
      </c>
      <c r="N4" s="49" t="s">
        <v>44</v>
      </c>
      <c r="O4" s="18" t="s">
        <v>37</v>
      </c>
      <c r="P4" s="18" t="s">
        <v>8</v>
      </c>
      <c r="Q4" s="19" t="s">
        <v>9</v>
      </c>
    </row>
    <row r="5" spans="1:20" s="4" customFormat="1" ht="19.5" customHeight="1" x14ac:dyDescent="0.25">
      <c r="A5" s="21" t="s">
        <v>10</v>
      </c>
      <c r="B5" s="22">
        <v>1921.7411210148</v>
      </c>
      <c r="C5" s="23">
        <v>473.56635722983702</v>
      </c>
      <c r="D5" s="24">
        <v>0.24642567724198161</v>
      </c>
      <c r="E5" s="25">
        <v>632</v>
      </c>
      <c r="F5" s="22">
        <v>1534.57313911202</v>
      </c>
      <c r="G5" s="23">
        <v>423.54496691756498</v>
      </c>
      <c r="H5" s="24">
        <v>0.27600181191927359</v>
      </c>
      <c r="I5" s="25">
        <v>351</v>
      </c>
      <c r="J5" s="22">
        <v>848.97969151685402</v>
      </c>
      <c r="K5" s="23">
        <v>158.455558331205</v>
      </c>
      <c r="L5" s="24">
        <v>0.18664234246651509</v>
      </c>
      <c r="M5" s="25">
        <v>31</v>
      </c>
      <c r="N5" s="22">
        <v>1749.71383628584</v>
      </c>
      <c r="O5" s="23">
        <v>333.88669943957899</v>
      </c>
      <c r="P5" s="24">
        <v>0.19082360356041328</v>
      </c>
      <c r="Q5" s="25">
        <v>1014</v>
      </c>
      <c r="R5" s="26"/>
      <c r="S5" s="26"/>
      <c r="T5" s="26"/>
    </row>
    <row r="6" spans="1:20" s="4" customFormat="1" ht="19.5" customHeight="1" x14ac:dyDescent="0.25">
      <c r="A6" s="27" t="s">
        <v>11</v>
      </c>
      <c r="B6" s="28">
        <v>3751.8252866249099</v>
      </c>
      <c r="C6" s="29">
        <v>1209.2218756562399</v>
      </c>
      <c r="D6" s="30">
        <v>0.32230228842666586</v>
      </c>
      <c r="E6" s="31">
        <v>63</v>
      </c>
      <c r="F6" s="28">
        <v>2796.4247578015102</v>
      </c>
      <c r="G6" s="29">
        <v>1690.7197168241401</v>
      </c>
      <c r="H6" s="30">
        <v>0.60460046783212862</v>
      </c>
      <c r="I6" s="31">
        <v>51</v>
      </c>
      <c r="J6" s="28">
        <v>1537.36435534916</v>
      </c>
      <c r="K6" s="29">
        <v>477.09785247902698</v>
      </c>
      <c r="L6" s="30">
        <v>0.31033492536690854</v>
      </c>
      <c r="M6" s="31">
        <v>16</v>
      </c>
      <c r="N6" s="28">
        <v>3117.8900563391799</v>
      </c>
      <c r="O6" s="29">
        <v>841.38629212176102</v>
      </c>
      <c r="P6" s="30">
        <v>0.26985758859940723</v>
      </c>
      <c r="Q6" s="31">
        <v>130</v>
      </c>
      <c r="R6" s="26"/>
      <c r="S6" s="26"/>
      <c r="T6" s="26"/>
    </row>
    <row r="7" spans="1:20" s="4" customFormat="1" ht="19.5" customHeight="1" x14ac:dyDescent="0.25">
      <c r="A7" s="27" t="s">
        <v>12</v>
      </c>
      <c r="B7" s="28">
        <v>3828.3441448931198</v>
      </c>
      <c r="C7" s="29">
        <v>924.54664301913499</v>
      </c>
      <c r="D7" s="30">
        <v>0.24150040018017935</v>
      </c>
      <c r="E7" s="31">
        <v>110</v>
      </c>
      <c r="F7" s="28">
        <v>2550.2324767231498</v>
      </c>
      <c r="G7" s="29">
        <v>778.15983684246703</v>
      </c>
      <c r="H7" s="30">
        <v>0.30513290217460559</v>
      </c>
      <c r="I7" s="31">
        <v>70</v>
      </c>
      <c r="J7" s="28">
        <v>2253.6814941061002</v>
      </c>
      <c r="K7" s="29">
        <v>1283.5354811633399</v>
      </c>
      <c r="L7" s="30">
        <v>0.56952834041548595</v>
      </c>
      <c r="M7" s="31">
        <v>13</v>
      </c>
      <c r="N7" s="28">
        <v>3019.5618775859898</v>
      </c>
      <c r="O7" s="29">
        <v>593.49304023864102</v>
      </c>
      <c r="P7" s="30">
        <v>0.19654938838779923</v>
      </c>
      <c r="Q7" s="31">
        <v>193</v>
      </c>
      <c r="R7" s="26"/>
      <c r="S7" s="26"/>
      <c r="T7" s="26"/>
    </row>
    <row r="8" spans="1:20" s="4" customFormat="1" ht="19.5" customHeight="1" x14ac:dyDescent="0.25">
      <c r="A8" s="27" t="s">
        <v>13</v>
      </c>
      <c r="B8" s="28">
        <v>2343.55638756602</v>
      </c>
      <c r="C8" s="29">
        <v>200.39815605952199</v>
      </c>
      <c r="D8" s="30">
        <v>8.5510277082623265E-2</v>
      </c>
      <c r="E8" s="31">
        <v>806</v>
      </c>
      <c r="F8" s="28">
        <v>1138.2711990667001</v>
      </c>
      <c r="G8" s="29">
        <v>415.51176970844102</v>
      </c>
      <c r="H8" s="30">
        <v>0.36503758511076323</v>
      </c>
      <c r="I8" s="31">
        <v>290</v>
      </c>
      <c r="J8" s="28">
        <v>759.39642305509199</v>
      </c>
      <c r="K8" s="29">
        <v>259.29470825958799</v>
      </c>
      <c r="L8" s="30">
        <v>0.34144841928071201</v>
      </c>
      <c r="M8" s="31">
        <v>33</v>
      </c>
      <c r="N8" s="28">
        <v>1797.5366772551799</v>
      </c>
      <c r="O8" s="29">
        <v>293.02316373124199</v>
      </c>
      <c r="P8" s="30">
        <v>0.16301373287063348</v>
      </c>
      <c r="Q8" s="31">
        <v>1129</v>
      </c>
      <c r="R8" s="26"/>
      <c r="S8" s="26"/>
      <c r="T8" s="26"/>
    </row>
    <row r="9" spans="1:20" s="4" customFormat="1" ht="19.5" customHeight="1" x14ac:dyDescent="0.25">
      <c r="A9" s="27" t="s">
        <v>14</v>
      </c>
      <c r="B9" s="28">
        <v>953.82374623579904</v>
      </c>
      <c r="C9" s="29">
        <v>135.142231714541</v>
      </c>
      <c r="D9" s="30">
        <v>0.14168470039446038</v>
      </c>
      <c r="E9" s="31">
        <v>349</v>
      </c>
      <c r="F9" s="28">
        <v>977.32839353314398</v>
      </c>
      <c r="G9" s="29">
        <v>322.38128859743802</v>
      </c>
      <c r="H9" s="30">
        <v>0.32985973878441827</v>
      </c>
      <c r="I9" s="31">
        <v>132</v>
      </c>
      <c r="J9" s="28">
        <v>516.16396617574003</v>
      </c>
      <c r="K9" s="29">
        <v>236.35429739710199</v>
      </c>
      <c r="L9" s="30">
        <v>0.45790545812070438</v>
      </c>
      <c r="M9" s="31">
        <v>20</v>
      </c>
      <c r="N9" s="28">
        <v>936.01457078790099</v>
      </c>
      <c r="O9" s="29">
        <v>136.24948772706901</v>
      </c>
      <c r="P9" s="30">
        <v>0.14556342601844269</v>
      </c>
      <c r="Q9" s="31">
        <v>501</v>
      </c>
      <c r="R9" s="26"/>
      <c r="S9" s="26"/>
      <c r="T9" s="26"/>
    </row>
    <row r="10" spans="1:20" s="4" customFormat="1" ht="19.5" customHeight="1" x14ac:dyDescent="0.25">
      <c r="A10" s="27" t="s">
        <v>15</v>
      </c>
      <c r="B10" s="28">
        <v>1530.84236243601</v>
      </c>
      <c r="C10" s="29">
        <v>232.74333182209099</v>
      </c>
      <c r="D10" s="30">
        <v>0.15203611915450882</v>
      </c>
      <c r="E10" s="31">
        <v>231</v>
      </c>
      <c r="F10" s="28">
        <v>1647.49255761632</v>
      </c>
      <c r="G10" s="29">
        <v>294.123711306232</v>
      </c>
      <c r="H10" s="30">
        <v>0.17852809710520687</v>
      </c>
      <c r="I10" s="31">
        <v>134</v>
      </c>
      <c r="J10" s="28">
        <v>639.39391115652302</v>
      </c>
      <c r="K10" s="29">
        <v>235.18486693192401</v>
      </c>
      <c r="L10" s="30">
        <v>0.36782468964480175</v>
      </c>
      <c r="M10" s="31">
        <v>11</v>
      </c>
      <c r="N10" s="28">
        <v>1515.32981893703</v>
      </c>
      <c r="O10" s="29">
        <v>180.553995679172</v>
      </c>
      <c r="P10" s="30">
        <v>0.11915161532677196</v>
      </c>
      <c r="Q10" s="31">
        <v>376</v>
      </c>
      <c r="R10" s="26"/>
      <c r="S10" s="26"/>
      <c r="T10" s="26"/>
    </row>
    <row r="11" spans="1:20" s="4" customFormat="1" ht="19.5" customHeight="1" x14ac:dyDescent="0.25">
      <c r="A11" s="27" t="s">
        <v>16</v>
      </c>
      <c r="B11" s="28">
        <v>764.83036200540005</v>
      </c>
      <c r="C11" s="29">
        <v>109.629012406399</v>
      </c>
      <c r="D11" s="30">
        <v>0.14333768356024676</v>
      </c>
      <c r="E11" s="31">
        <v>227</v>
      </c>
      <c r="F11" s="28">
        <v>826.45401246828703</v>
      </c>
      <c r="G11" s="29">
        <v>411.66581953290699</v>
      </c>
      <c r="H11" s="30">
        <v>0.49811098176343305</v>
      </c>
      <c r="I11" s="31">
        <v>115</v>
      </c>
      <c r="J11" s="28">
        <v>2252.0202856767201</v>
      </c>
      <c r="K11" s="29">
        <v>918.31618880039798</v>
      </c>
      <c r="L11" s="30">
        <v>0.40777438579974817</v>
      </c>
      <c r="M11" s="31">
        <v>11</v>
      </c>
      <c r="N11" s="28">
        <v>788.36644934839501</v>
      </c>
      <c r="O11" s="29">
        <v>128.84527089431501</v>
      </c>
      <c r="P11" s="30">
        <v>0.16343322448692346</v>
      </c>
      <c r="Q11" s="31">
        <v>353</v>
      </c>
      <c r="R11" s="26"/>
      <c r="S11" s="26"/>
      <c r="T11" s="26"/>
    </row>
    <row r="12" spans="1:20" s="4" customFormat="1" ht="19.5" customHeight="1" x14ac:dyDescent="0.25">
      <c r="A12" s="27" t="s">
        <v>17</v>
      </c>
      <c r="B12" s="28">
        <v>1203.8931823703099</v>
      </c>
      <c r="C12" s="29">
        <v>236.957083140809</v>
      </c>
      <c r="D12" s="30">
        <v>0.19682567075782517</v>
      </c>
      <c r="E12" s="31">
        <v>501</v>
      </c>
      <c r="F12" s="28">
        <v>1897.3320378923099</v>
      </c>
      <c r="G12" s="29">
        <v>418.10256384413702</v>
      </c>
      <c r="H12" s="30">
        <v>0.22036341320025082</v>
      </c>
      <c r="I12" s="31">
        <v>521</v>
      </c>
      <c r="J12" s="28">
        <v>979.34389400984799</v>
      </c>
      <c r="K12" s="29">
        <v>333.347079908767</v>
      </c>
      <c r="L12" s="30">
        <v>0.34037796319319774</v>
      </c>
      <c r="M12" s="31">
        <v>64</v>
      </c>
      <c r="N12" s="28">
        <v>1475.8639108345501</v>
      </c>
      <c r="O12" s="29">
        <v>218.69210986892099</v>
      </c>
      <c r="P12" s="30">
        <v>0.14817904839563301</v>
      </c>
      <c r="Q12" s="31">
        <v>1086</v>
      </c>
      <c r="R12" s="26"/>
      <c r="S12" s="26"/>
      <c r="T12" s="26"/>
    </row>
    <row r="13" spans="1:20" s="4" customFormat="1" ht="19.5" customHeight="1" x14ac:dyDescent="0.25">
      <c r="A13" s="27" t="s">
        <v>18</v>
      </c>
      <c r="B13" s="28">
        <v>2984.0747720865202</v>
      </c>
      <c r="C13" s="29">
        <v>1537.2350146204701</v>
      </c>
      <c r="D13" s="30">
        <v>0.5151462788399257</v>
      </c>
      <c r="E13" s="31">
        <v>104</v>
      </c>
      <c r="F13" s="28">
        <v>2407.7929157705098</v>
      </c>
      <c r="G13" s="29">
        <v>611.09552676059604</v>
      </c>
      <c r="H13" s="30">
        <v>0.2537990384297818</v>
      </c>
      <c r="I13" s="31">
        <v>126</v>
      </c>
      <c r="J13" s="28">
        <v>1883.2104762027</v>
      </c>
      <c r="K13" s="29">
        <v>432.18192416252299</v>
      </c>
      <c r="L13" s="30">
        <v>0.22949209853270006</v>
      </c>
      <c r="M13" s="31">
        <v>14</v>
      </c>
      <c r="N13" s="28">
        <v>2686.0022380169898</v>
      </c>
      <c r="O13" s="29">
        <v>822.83411383747205</v>
      </c>
      <c r="P13" s="30">
        <v>0.30634155928512946</v>
      </c>
      <c r="Q13" s="31">
        <v>244</v>
      </c>
      <c r="R13" s="26"/>
      <c r="S13" s="26"/>
      <c r="T13" s="26"/>
    </row>
    <row r="14" spans="1:20" s="4" customFormat="1" ht="19.5" customHeight="1" x14ac:dyDescent="0.25">
      <c r="A14" s="27" t="s">
        <v>19</v>
      </c>
      <c r="B14" s="32">
        <v>613.96272604321496</v>
      </c>
      <c r="C14" s="33">
        <v>94.018824390295904</v>
      </c>
      <c r="D14" s="30">
        <v>0.15313441745269438</v>
      </c>
      <c r="E14" s="31">
        <v>26</v>
      </c>
      <c r="F14" s="32">
        <v>370.691356901262</v>
      </c>
      <c r="G14" s="33">
        <v>84.424532586887295</v>
      </c>
      <c r="H14" s="30">
        <v>0.22774885633326153</v>
      </c>
      <c r="I14" s="31">
        <v>25</v>
      </c>
      <c r="J14" s="32">
        <v>213.61989156386599</v>
      </c>
      <c r="K14" s="33">
        <v>72.818572376295606</v>
      </c>
      <c r="L14" s="30">
        <v>0.34087917488959601</v>
      </c>
      <c r="M14" s="31">
        <v>1</v>
      </c>
      <c r="N14" s="32">
        <v>428.79384621782702</v>
      </c>
      <c r="O14" s="33">
        <v>73.432156434064396</v>
      </c>
      <c r="P14" s="30">
        <v>0.17125282249680632</v>
      </c>
      <c r="Q14" s="31">
        <v>52</v>
      </c>
      <c r="R14" s="26"/>
      <c r="S14" s="26"/>
      <c r="T14" s="26"/>
    </row>
    <row r="15" spans="1:20" s="4" customFormat="1" ht="19.5" customHeight="1" thickBot="1" x14ac:dyDescent="0.3">
      <c r="A15" s="27" t="s">
        <v>20</v>
      </c>
      <c r="B15" s="32">
        <v>979.70856797174395</v>
      </c>
      <c r="C15" s="34">
        <v>400.40973182065301</v>
      </c>
      <c r="D15" s="30">
        <v>0.40870289891371181</v>
      </c>
      <c r="E15" s="31">
        <v>15</v>
      </c>
      <c r="F15" s="32">
        <v>830.78211800358804</v>
      </c>
      <c r="G15" s="34">
        <v>68.941043890451795</v>
      </c>
      <c r="H15" s="30">
        <v>8.2983302596980127E-2</v>
      </c>
      <c r="I15" s="31">
        <v>9</v>
      </c>
      <c r="J15" s="32">
        <v>199.68845524802899</v>
      </c>
      <c r="K15" s="34">
        <v>26.361420769541201</v>
      </c>
      <c r="L15" s="30">
        <v>0.13201274323444595</v>
      </c>
      <c r="M15" s="31">
        <v>1</v>
      </c>
      <c r="N15" s="32">
        <v>878.49709259400299</v>
      </c>
      <c r="O15" s="34">
        <v>241.395574920732</v>
      </c>
      <c r="P15" s="30">
        <v>0.27478244032424232</v>
      </c>
      <c r="Q15" s="31">
        <v>25</v>
      </c>
      <c r="R15" s="26"/>
      <c r="S15" s="26"/>
      <c r="T15" s="26"/>
    </row>
    <row r="16" spans="1:20" s="4" customFormat="1" ht="24.75" customHeight="1" thickTop="1" x14ac:dyDescent="0.25">
      <c r="A16" s="35" t="s">
        <v>4</v>
      </c>
      <c r="B16" s="36">
        <v>1541.9513595891499</v>
      </c>
      <c r="C16" s="37">
        <v>178.83633366894901</v>
      </c>
      <c r="D16" s="38">
        <v>0.11598052854053685</v>
      </c>
      <c r="E16" s="39">
        <v>3064</v>
      </c>
      <c r="F16" s="36">
        <v>1619.9658587342001</v>
      </c>
      <c r="G16" s="37">
        <v>194.14444226295799</v>
      </c>
      <c r="H16" s="38">
        <v>0.1198447740217547</v>
      </c>
      <c r="I16" s="39">
        <v>1824</v>
      </c>
      <c r="J16" s="36">
        <v>1023.19542700571</v>
      </c>
      <c r="K16" s="37">
        <v>177.11673086651601</v>
      </c>
      <c r="L16" s="38">
        <v>0.173101566124892</v>
      </c>
      <c r="M16" s="39">
        <v>215</v>
      </c>
      <c r="N16" s="36">
        <v>1551.5929155060301</v>
      </c>
      <c r="O16" s="37">
        <v>130.13815460128001</v>
      </c>
      <c r="P16" s="38">
        <v>8.3873903586906551E-2</v>
      </c>
      <c r="Q16" s="39">
        <v>5103</v>
      </c>
    </row>
    <row r="17" spans="1:17" s="4" customFormat="1" ht="16.5" customHeight="1" x14ac:dyDescent="0.25">
      <c r="A17" s="40"/>
      <c r="B17" s="41"/>
      <c r="C17" s="41"/>
      <c r="D17" s="41"/>
      <c r="E17" s="41"/>
      <c r="F17" s="41"/>
      <c r="G17" s="41"/>
      <c r="H17" s="41"/>
      <c r="I17" s="41"/>
      <c r="J17" s="41"/>
      <c r="K17" s="41"/>
      <c r="L17" s="41"/>
      <c r="M17" s="41"/>
      <c r="N17" s="41"/>
      <c r="O17" s="41"/>
      <c r="P17" s="41"/>
      <c r="Q17" s="41"/>
    </row>
    <row r="18" spans="1:17" s="4" customFormat="1" ht="45" x14ac:dyDescent="0.25">
      <c r="A18" s="5" t="s">
        <v>45</v>
      </c>
      <c r="B18" s="17" t="s">
        <v>44</v>
      </c>
      <c r="C18" s="18" t="s">
        <v>36</v>
      </c>
      <c r="D18" s="18" t="s">
        <v>8</v>
      </c>
      <c r="E18" s="19" t="s">
        <v>9</v>
      </c>
      <c r="F18" s="17" t="s">
        <v>44</v>
      </c>
      <c r="G18" s="18" t="s">
        <v>36</v>
      </c>
      <c r="H18" s="18" t="s">
        <v>8</v>
      </c>
      <c r="I18" s="19" t="s">
        <v>9</v>
      </c>
      <c r="J18" s="17" t="s">
        <v>44</v>
      </c>
      <c r="K18" s="18" t="s">
        <v>36</v>
      </c>
      <c r="L18" s="18" t="s">
        <v>8</v>
      </c>
      <c r="M18" s="20" t="s">
        <v>9</v>
      </c>
      <c r="N18" s="17" t="s">
        <v>44</v>
      </c>
      <c r="O18" s="18" t="s">
        <v>36</v>
      </c>
      <c r="P18" s="18" t="s">
        <v>8</v>
      </c>
      <c r="Q18" s="19" t="s">
        <v>9</v>
      </c>
    </row>
    <row r="19" spans="1:17" s="4" customFormat="1" ht="22.9" customHeight="1" x14ac:dyDescent="0.25">
      <c r="A19" s="50" t="s">
        <v>22</v>
      </c>
      <c r="B19" s="32">
        <v>1737.1105941588701</v>
      </c>
      <c r="C19" s="33">
        <v>240.68618434032101</v>
      </c>
      <c r="D19" s="24">
        <v>0.13855547548304728</v>
      </c>
      <c r="E19" s="25">
        <v>2522</v>
      </c>
      <c r="F19" s="32">
        <v>1611.93651698346</v>
      </c>
      <c r="G19" s="33">
        <v>233.98008215234199</v>
      </c>
      <c r="H19" s="24">
        <v>0.14515465074903</v>
      </c>
      <c r="I19" s="25">
        <v>1269</v>
      </c>
      <c r="J19" s="32">
        <v>1081.9173887393399</v>
      </c>
      <c r="K19" s="33">
        <v>209.093856417914</v>
      </c>
      <c r="L19" s="24">
        <v>0.19326231244101927</v>
      </c>
      <c r="M19" s="25">
        <v>149</v>
      </c>
      <c r="N19" s="32">
        <v>1669.17888713502</v>
      </c>
      <c r="O19" s="33">
        <v>171.32375758568</v>
      </c>
      <c r="P19" s="24">
        <v>0.10263954265545512</v>
      </c>
      <c r="Q19" s="25">
        <v>3940</v>
      </c>
    </row>
    <row r="20" spans="1:17" s="4" customFormat="1" ht="22.9" customHeight="1" thickBot="1" x14ac:dyDescent="0.3">
      <c r="A20" s="51" t="s">
        <v>23</v>
      </c>
      <c r="B20" s="32">
        <v>1171.3124167732799</v>
      </c>
      <c r="C20" s="34">
        <v>216.31126206878599</v>
      </c>
      <c r="D20" s="30">
        <v>0.18467426706247866</v>
      </c>
      <c r="E20" s="31">
        <v>542</v>
      </c>
      <c r="F20" s="32">
        <v>1630.28838157474</v>
      </c>
      <c r="G20" s="34">
        <v>342.479745361222</v>
      </c>
      <c r="H20" s="30">
        <v>0.21007310683917865</v>
      </c>
      <c r="I20" s="31">
        <v>555</v>
      </c>
      <c r="J20" s="32">
        <v>939.31837751447802</v>
      </c>
      <c r="K20" s="34">
        <v>315.61044940222803</v>
      </c>
      <c r="L20" s="30">
        <v>0.33599944061284315</v>
      </c>
      <c r="M20" s="31">
        <v>66</v>
      </c>
      <c r="N20" s="32">
        <v>1362.11264620712</v>
      </c>
      <c r="O20" s="34">
        <v>190.81463325130599</v>
      </c>
      <c r="P20" s="30">
        <v>0.14008726354801873</v>
      </c>
      <c r="Q20" s="31">
        <v>1163</v>
      </c>
    </row>
    <row r="21" spans="1:17" s="4" customFormat="1" ht="24.75" customHeight="1" thickTop="1" x14ac:dyDescent="0.25">
      <c r="A21" s="35" t="s">
        <v>4</v>
      </c>
      <c r="B21" s="36">
        <v>1541.9513595891499</v>
      </c>
      <c r="C21" s="37">
        <v>178.83633366894901</v>
      </c>
      <c r="D21" s="38">
        <v>0.11598052854053685</v>
      </c>
      <c r="E21" s="39">
        <v>3064</v>
      </c>
      <c r="F21" s="36">
        <v>1619.9658587342001</v>
      </c>
      <c r="G21" s="37">
        <v>194.14444226295799</v>
      </c>
      <c r="H21" s="38">
        <v>0.1198447740217547</v>
      </c>
      <c r="I21" s="39">
        <v>1824</v>
      </c>
      <c r="J21" s="36">
        <v>1023.19542700571</v>
      </c>
      <c r="K21" s="37">
        <v>177.11673086651601</v>
      </c>
      <c r="L21" s="38">
        <v>0.173101566124892</v>
      </c>
      <c r="M21" s="39">
        <v>215</v>
      </c>
      <c r="N21" s="36">
        <v>1551.5929155060301</v>
      </c>
      <c r="O21" s="37">
        <v>130.13815460128001</v>
      </c>
      <c r="P21" s="38">
        <v>8.3873903586906551E-2</v>
      </c>
      <c r="Q21" s="39">
        <v>5103</v>
      </c>
    </row>
    <row r="22" spans="1:17" s="4" customFormat="1" ht="16.5" customHeight="1" x14ac:dyDescent="0.25">
      <c r="A22" s="40"/>
      <c r="B22" s="41"/>
      <c r="C22" s="41"/>
      <c r="D22" s="41"/>
      <c r="E22" s="41"/>
      <c r="F22" s="41"/>
      <c r="G22" s="41"/>
      <c r="H22" s="41"/>
      <c r="I22" s="41"/>
      <c r="J22" s="41"/>
      <c r="K22" s="41"/>
      <c r="L22" s="41"/>
      <c r="M22" s="41"/>
      <c r="N22" s="41"/>
      <c r="O22" s="41"/>
      <c r="P22" s="41"/>
      <c r="Q22" s="41"/>
    </row>
    <row r="23" spans="1:17" s="4" customFormat="1" x14ac:dyDescent="0.25">
      <c r="A23" s="40" t="s">
        <v>46</v>
      </c>
      <c r="B23" s="44" t="s">
        <v>26</v>
      </c>
      <c r="C23" s="4" t="s">
        <v>40</v>
      </c>
    </row>
    <row r="24" spans="1:17" s="4" customFormat="1" x14ac:dyDescent="0.25">
      <c r="A24" s="40"/>
      <c r="B24" s="45" t="s">
        <v>26</v>
      </c>
      <c r="C24" s="4" t="s">
        <v>29</v>
      </c>
    </row>
    <row r="25" spans="1:17" x14ac:dyDescent="0.25">
      <c r="A25" s="154" t="s">
        <v>240</v>
      </c>
    </row>
  </sheetData>
  <mergeCells count="3">
    <mergeCell ref="B2:M2"/>
    <mergeCell ref="N2:Q2"/>
    <mergeCell ref="N3:Q3"/>
  </mergeCells>
  <conditionalFormatting sqref="M5:M16">
    <cfRule type="expression" dxfId="1300" priority="56">
      <formula>M5&lt;=1</formula>
    </cfRule>
  </conditionalFormatting>
  <conditionalFormatting sqref="J5:J16">
    <cfRule type="expression" dxfId="1299" priority="50">
      <formula>OR(L5&gt;=0.5,M5&lt;=5)</formula>
    </cfRule>
    <cfRule type="expression" dxfId="1298" priority="53">
      <formula>M5&lt;=1</formula>
    </cfRule>
  </conditionalFormatting>
  <conditionalFormatting sqref="K5:K16">
    <cfRule type="expression" dxfId="1297" priority="51">
      <formula>OR(L5&gt;=0.5,M5&lt;=5)</formula>
    </cfRule>
    <cfRule type="expression" dxfId="1296" priority="54">
      <formula>M5&lt;=1</formula>
    </cfRule>
  </conditionalFormatting>
  <conditionalFormatting sqref="L5:L16">
    <cfRule type="expression" dxfId="1295" priority="52">
      <formula>OR(L5&gt;=0.5,M5&lt;=5)</formula>
    </cfRule>
    <cfRule type="expression" dxfId="1294" priority="55">
      <formula>M5&lt;=1</formula>
    </cfRule>
  </conditionalFormatting>
  <conditionalFormatting sqref="Q5:Q16">
    <cfRule type="expression" dxfId="1293" priority="49">
      <formula>Q5&lt;=1</formula>
    </cfRule>
  </conditionalFormatting>
  <conditionalFormatting sqref="N5:N16">
    <cfRule type="expression" dxfId="1292" priority="43">
      <formula>OR(P5&gt;=0.5,Q5&lt;=5)</formula>
    </cfRule>
    <cfRule type="expression" dxfId="1291" priority="46">
      <formula>Q5&lt;=1</formula>
    </cfRule>
  </conditionalFormatting>
  <conditionalFormatting sqref="O5:O16">
    <cfRule type="expression" dxfId="1290" priority="44">
      <formula>OR(P5&gt;=0.5,Q5&lt;=5)</formula>
    </cfRule>
    <cfRule type="expression" dxfId="1289" priority="47">
      <formula>Q5&lt;=1</formula>
    </cfRule>
  </conditionalFormatting>
  <conditionalFormatting sqref="P5:P16">
    <cfRule type="expression" dxfId="1288" priority="45">
      <formula>OR(P5&gt;=0.5,Q5&lt;=5)</formula>
    </cfRule>
    <cfRule type="expression" dxfId="1287" priority="48">
      <formula>Q5&lt;=1</formula>
    </cfRule>
  </conditionalFormatting>
  <conditionalFormatting sqref="E5:E16">
    <cfRule type="expression" dxfId="1286" priority="42">
      <formula>E5&lt;=1</formula>
    </cfRule>
  </conditionalFormatting>
  <conditionalFormatting sqref="B5:B16">
    <cfRule type="expression" dxfId="1285" priority="36">
      <formula>OR(D5&gt;=0.5,E5&lt;=5)</formula>
    </cfRule>
    <cfRule type="expression" dxfId="1284" priority="39">
      <formula>E5&lt;=1</formula>
    </cfRule>
  </conditionalFormatting>
  <conditionalFormatting sqref="C5:C16">
    <cfRule type="expression" dxfId="1283" priority="37">
      <formula>OR(D5&gt;=0.5,E5&lt;=5)</formula>
    </cfRule>
    <cfRule type="expression" dxfId="1282" priority="40">
      <formula>E5&lt;=1</formula>
    </cfRule>
  </conditionalFormatting>
  <conditionalFormatting sqref="D5:D16">
    <cfRule type="expression" dxfId="1281" priority="38">
      <formula>OR(D5&gt;=0.5,E5&lt;=5)</formula>
    </cfRule>
    <cfRule type="expression" dxfId="1280" priority="41">
      <formula>E5&lt;=1</formula>
    </cfRule>
  </conditionalFormatting>
  <conditionalFormatting sqref="I5:I16">
    <cfRule type="expression" dxfId="1279" priority="35">
      <formula>I5&lt;=1</formula>
    </cfRule>
  </conditionalFormatting>
  <conditionalFormatting sqref="F5:F16">
    <cfRule type="expression" dxfId="1278" priority="29">
      <formula>OR(H5&gt;=0.5,I5&lt;=5)</formula>
    </cfRule>
    <cfRule type="expression" dxfId="1277" priority="32">
      <formula>I5&lt;=1</formula>
    </cfRule>
  </conditionalFormatting>
  <conditionalFormatting sqref="G5:G16">
    <cfRule type="expression" dxfId="1276" priority="30">
      <formula>OR(H5&gt;=0.5,I5&lt;=5)</formula>
    </cfRule>
    <cfRule type="expression" dxfId="1275" priority="33">
      <formula>I5&lt;=1</formula>
    </cfRule>
  </conditionalFormatting>
  <conditionalFormatting sqref="H5:H16">
    <cfRule type="expression" dxfId="1274" priority="31">
      <formula>OR(H5&gt;=0.5,I5&lt;=5)</formula>
    </cfRule>
    <cfRule type="expression" dxfId="1273" priority="34">
      <formula>I5&lt;=1</formula>
    </cfRule>
  </conditionalFormatting>
  <conditionalFormatting sqref="E19:E21">
    <cfRule type="expression" dxfId="1272" priority="26">
      <formula>E19&lt;=1</formula>
    </cfRule>
  </conditionalFormatting>
  <conditionalFormatting sqref="B19:B21">
    <cfRule type="expression" dxfId="1271" priority="22">
      <formula>OR(D19&gt;=0.5,E19&lt;=5)</formula>
    </cfRule>
    <cfRule type="expression" dxfId="1270" priority="24">
      <formula>E19&lt;=1</formula>
    </cfRule>
  </conditionalFormatting>
  <conditionalFormatting sqref="C19:C21">
    <cfRule type="expression" dxfId="1269" priority="23">
      <formula>OR(D19&gt;=0.5,E19&lt;=5)</formula>
    </cfRule>
    <cfRule type="expression" dxfId="1268" priority="25">
      <formula>E19&lt;=1</formula>
    </cfRule>
  </conditionalFormatting>
  <conditionalFormatting sqref="D19:D21">
    <cfRule type="expression" dxfId="1267" priority="27">
      <formula>OR(D19&gt;=0.5,E19&lt;=5)</formula>
    </cfRule>
    <cfRule type="expression" dxfId="1266" priority="28">
      <formula>E19&lt;=1</formula>
    </cfRule>
  </conditionalFormatting>
  <conditionalFormatting sqref="I19:I21">
    <cfRule type="expression" dxfId="1265" priority="19">
      <formula>I19&lt;=1</formula>
    </cfRule>
  </conditionalFormatting>
  <conditionalFormatting sqref="F19:F21">
    <cfRule type="expression" dxfId="1264" priority="15">
      <formula>OR(H19&gt;=0.5,I19&lt;=5)</formula>
    </cfRule>
    <cfRule type="expression" dxfId="1263" priority="17">
      <formula>I19&lt;=1</formula>
    </cfRule>
  </conditionalFormatting>
  <conditionalFormatting sqref="G19:G21">
    <cfRule type="expression" dxfId="1262" priority="16">
      <formula>OR(H19&gt;=0.5,I19&lt;=5)</formula>
    </cfRule>
    <cfRule type="expression" dxfId="1261" priority="18">
      <formula>I19&lt;=1</formula>
    </cfRule>
  </conditionalFormatting>
  <conditionalFormatting sqref="H19:H21">
    <cfRule type="expression" dxfId="1260" priority="20">
      <formula>OR(H19&gt;=0.5,I19&lt;=5)</formula>
    </cfRule>
    <cfRule type="expression" dxfId="1259" priority="21">
      <formula>I19&lt;=1</formula>
    </cfRule>
  </conditionalFormatting>
  <conditionalFormatting sqref="M19:M21">
    <cfRule type="expression" dxfId="1258" priority="12">
      <formula>M19&lt;=1</formula>
    </cfRule>
  </conditionalFormatting>
  <conditionalFormatting sqref="J19:J21">
    <cfRule type="expression" dxfId="1257" priority="8">
      <formula>OR(L19&gt;=0.5,M19&lt;=5)</formula>
    </cfRule>
    <cfRule type="expression" dxfId="1256" priority="10">
      <formula>M19&lt;=1</formula>
    </cfRule>
  </conditionalFormatting>
  <conditionalFormatting sqref="K19:K21">
    <cfRule type="expression" dxfId="1255" priority="9">
      <formula>OR(L19&gt;=0.5,M19&lt;=5)</formula>
    </cfRule>
    <cfRule type="expression" dxfId="1254" priority="11">
      <formula>M19&lt;=1</formula>
    </cfRule>
  </conditionalFormatting>
  <conditionalFormatting sqref="L19:L21">
    <cfRule type="expression" dxfId="1253" priority="13">
      <formula>OR(L19&gt;=0.5,M19&lt;=5)</formula>
    </cfRule>
    <cfRule type="expression" dxfId="1252" priority="14">
      <formula>M19&lt;=1</formula>
    </cfRule>
  </conditionalFormatting>
  <conditionalFormatting sqref="Q19:Q21">
    <cfRule type="expression" dxfId="1251" priority="5">
      <formula>Q19&lt;=1</formula>
    </cfRule>
  </conditionalFormatting>
  <conditionalFormatting sqref="N19:N21">
    <cfRule type="expression" dxfId="1250" priority="1">
      <formula>OR(P19&gt;=0.5,Q19&lt;=5)</formula>
    </cfRule>
    <cfRule type="expression" dxfId="1249" priority="3">
      <formula>Q19&lt;=1</formula>
    </cfRule>
  </conditionalFormatting>
  <conditionalFormatting sqref="O19:O21">
    <cfRule type="expression" dxfId="1248" priority="2">
      <formula>OR(P19&gt;=0.5,Q19&lt;=5)</formula>
    </cfRule>
    <cfRule type="expression" dxfId="1247" priority="4">
      <formula>Q19&lt;=1</formula>
    </cfRule>
  </conditionalFormatting>
  <conditionalFormatting sqref="P19:P21">
    <cfRule type="expression" dxfId="1246" priority="6">
      <formula>OR(P19&gt;=0.5,Q19&lt;=5)</formula>
    </cfRule>
    <cfRule type="expression" dxfId="1245" priority="7">
      <formula>Q19&lt;=1</formula>
    </cfRule>
  </conditionalFormatting>
  <hyperlinks>
    <hyperlink ref="A25" location="Überblick!A1" display="zurück zur Übersicht" xr:uid="{C58FDB75-FD5F-496D-90A9-9A835499FAFB}"/>
  </hyperlink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23E3A-1097-4CEA-B3B9-F058379FDB3C}">
  <sheetPr codeName="Tabelle3"/>
  <dimension ref="A1:T30"/>
  <sheetViews>
    <sheetView workbookViewId="0">
      <selection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
        <v>30</v>
      </c>
      <c r="B1" s="2"/>
      <c r="C1" s="2"/>
      <c r="D1" s="2"/>
      <c r="E1" s="2"/>
      <c r="F1" s="2"/>
      <c r="G1" s="2"/>
      <c r="H1" s="2"/>
      <c r="I1" s="2"/>
      <c r="J1" s="2"/>
      <c r="K1" s="2"/>
      <c r="L1" s="2"/>
      <c r="M1" s="2"/>
      <c r="N1" s="2"/>
      <c r="O1" s="2"/>
      <c r="P1" s="2"/>
      <c r="Q1" s="3"/>
    </row>
    <row r="2" spans="1:20" ht="36.75" customHeight="1" x14ac:dyDescent="0.25">
      <c r="A2" s="4" t="s">
        <v>31</v>
      </c>
      <c r="B2" s="167" t="s">
        <v>0</v>
      </c>
      <c r="C2" s="168"/>
      <c r="D2" s="168"/>
      <c r="E2" s="168"/>
      <c r="F2" s="168"/>
      <c r="G2" s="168"/>
      <c r="H2" s="168"/>
      <c r="I2" s="168"/>
      <c r="J2" s="168"/>
      <c r="K2" s="168"/>
      <c r="L2" s="168"/>
      <c r="M2" s="169"/>
      <c r="N2" s="170"/>
      <c r="O2" s="171"/>
      <c r="P2" s="171"/>
      <c r="Q2" s="172"/>
    </row>
    <row r="3" spans="1:20" ht="50.25" customHeight="1" x14ac:dyDescent="0.25">
      <c r="A3" s="46" t="s">
        <v>32</v>
      </c>
      <c r="B3" s="11" t="s">
        <v>1</v>
      </c>
      <c r="C3" s="12"/>
      <c r="D3" s="12"/>
      <c r="E3" s="13"/>
      <c r="F3" s="11" t="s">
        <v>33</v>
      </c>
      <c r="G3" s="12"/>
      <c r="H3" s="12"/>
      <c r="I3" s="13"/>
      <c r="J3" s="11" t="s">
        <v>3</v>
      </c>
      <c r="K3" s="12"/>
      <c r="L3" s="12"/>
      <c r="M3" s="14"/>
      <c r="N3" s="170" t="s">
        <v>4</v>
      </c>
      <c r="O3" s="171"/>
      <c r="P3" s="171"/>
      <c r="Q3" s="172"/>
    </row>
    <row r="4" spans="1:20" ht="50.25" customHeight="1" x14ac:dyDescent="0.25">
      <c r="A4" s="5" t="s">
        <v>34</v>
      </c>
      <c r="B4" s="17" t="s">
        <v>35</v>
      </c>
      <c r="C4" s="18" t="s">
        <v>36</v>
      </c>
      <c r="D4" s="18" t="s">
        <v>8</v>
      </c>
      <c r="E4" s="19" t="s">
        <v>9</v>
      </c>
      <c r="F4" s="17" t="s">
        <v>35</v>
      </c>
      <c r="G4" s="18" t="s">
        <v>37</v>
      </c>
      <c r="H4" s="18" t="s">
        <v>8</v>
      </c>
      <c r="I4" s="19" t="s">
        <v>9</v>
      </c>
      <c r="J4" s="17" t="s">
        <v>35</v>
      </c>
      <c r="K4" s="18" t="s">
        <v>37</v>
      </c>
      <c r="L4" s="18" t="s">
        <v>8</v>
      </c>
      <c r="M4" s="20" t="s">
        <v>9</v>
      </c>
      <c r="N4" s="17" t="s">
        <v>35</v>
      </c>
      <c r="O4" s="18" t="s">
        <v>37</v>
      </c>
      <c r="P4" s="18" t="s">
        <v>8</v>
      </c>
      <c r="Q4" s="19" t="s">
        <v>9</v>
      </c>
    </row>
    <row r="5" spans="1:20" ht="19.5" customHeight="1" x14ac:dyDescent="0.25">
      <c r="A5" s="21" t="s">
        <v>10</v>
      </c>
      <c r="B5" s="22">
        <v>1750.90697961873</v>
      </c>
      <c r="C5" s="23">
        <v>467.379260067259</v>
      </c>
      <c r="D5" s="24">
        <v>0.26693551713925628</v>
      </c>
      <c r="E5" s="25">
        <v>632</v>
      </c>
      <c r="F5" s="22">
        <v>1342.70914173241</v>
      </c>
      <c r="G5" s="23">
        <v>359.11798794435998</v>
      </c>
      <c r="H5" s="24">
        <v>0.26745776637895941</v>
      </c>
      <c r="I5" s="25">
        <v>351</v>
      </c>
      <c r="J5" s="22">
        <v>786.81919681986199</v>
      </c>
      <c r="K5" s="23">
        <v>140.32641045613099</v>
      </c>
      <c r="L5" s="24">
        <v>0.17834644988746756</v>
      </c>
      <c r="M5" s="25">
        <v>31</v>
      </c>
      <c r="N5" s="22">
        <v>1575.4519882761699</v>
      </c>
      <c r="O5" s="23">
        <v>320.57601278400699</v>
      </c>
      <c r="P5" s="24">
        <v>0.20348193100747886</v>
      </c>
      <c r="Q5" s="25">
        <v>1014</v>
      </c>
      <c r="R5" s="26"/>
      <c r="S5" s="26"/>
      <c r="T5" s="26"/>
    </row>
    <row r="6" spans="1:20" ht="19.5" customHeight="1" x14ac:dyDescent="0.25">
      <c r="A6" s="27" t="s">
        <v>11</v>
      </c>
      <c r="B6" s="28">
        <v>3363.5229050789599</v>
      </c>
      <c r="C6" s="29">
        <v>1026.1376696877801</v>
      </c>
      <c r="D6" s="30">
        <v>0.30507824642380166</v>
      </c>
      <c r="E6" s="31">
        <v>63</v>
      </c>
      <c r="F6" s="28">
        <v>2504.4074727432599</v>
      </c>
      <c r="G6" s="29">
        <v>1509.3921369985601</v>
      </c>
      <c r="H6" s="30">
        <v>0.60269431129959572</v>
      </c>
      <c r="I6" s="31">
        <v>51</v>
      </c>
      <c r="J6" s="28">
        <v>1524.61932278121</v>
      </c>
      <c r="K6" s="29">
        <v>469.485996485854</v>
      </c>
      <c r="L6" s="30">
        <v>0.30793653830217621</v>
      </c>
      <c r="M6" s="31">
        <v>16</v>
      </c>
      <c r="N6" s="28">
        <v>2812.9893682646998</v>
      </c>
      <c r="O6" s="29">
        <v>736.50180153397798</v>
      </c>
      <c r="P6" s="30">
        <v>0.26182175085443615</v>
      </c>
      <c r="Q6" s="31">
        <v>130</v>
      </c>
      <c r="R6" s="26"/>
      <c r="S6" s="26"/>
      <c r="T6" s="26"/>
    </row>
    <row r="7" spans="1:20" ht="19.5" customHeight="1" x14ac:dyDescent="0.25">
      <c r="A7" s="27" t="s">
        <v>12</v>
      </c>
      <c r="B7" s="28">
        <v>3552.8341796397199</v>
      </c>
      <c r="C7" s="29">
        <v>832.207049669772</v>
      </c>
      <c r="D7" s="30">
        <v>0.23423751506302024</v>
      </c>
      <c r="E7" s="31">
        <v>110</v>
      </c>
      <c r="F7" s="28">
        <v>2442.3277195738001</v>
      </c>
      <c r="G7" s="29">
        <v>755.90068399703898</v>
      </c>
      <c r="H7" s="30">
        <v>0.30950010432217828</v>
      </c>
      <c r="I7" s="31">
        <v>70</v>
      </c>
      <c r="J7" s="28">
        <v>2065.8803519074399</v>
      </c>
      <c r="K7" s="29">
        <v>1127.92319235321</v>
      </c>
      <c r="L7" s="30">
        <v>0.54597701716451852</v>
      </c>
      <c r="M7" s="31">
        <v>13</v>
      </c>
      <c r="N7" s="28">
        <v>2840.4353279440202</v>
      </c>
      <c r="O7" s="29">
        <v>556.984717789765</v>
      </c>
      <c r="P7" s="30">
        <v>0.19609132174571453</v>
      </c>
      <c r="Q7" s="31">
        <v>193</v>
      </c>
      <c r="R7" s="26"/>
      <c r="S7" s="26"/>
      <c r="T7" s="26"/>
    </row>
    <row r="8" spans="1:20" ht="19.5" customHeight="1" x14ac:dyDescent="0.25">
      <c r="A8" s="27" t="s">
        <v>13</v>
      </c>
      <c r="B8" s="28">
        <v>2224.7291415692298</v>
      </c>
      <c r="C8" s="29">
        <v>190.64413539922501</v>
      </c>
      <c r="D8" s="30">
        <v>8.5693189268313666E-2</v>
      </c>
      <c r="E8" s="31">
        <v>806</v>
      </c>
      <c r="F8" s="28">
        <v>1080.0582387582899</v>
      </c>
      <c r="G8" s="29">
        <v>386.75874862827902</v>
      </c>
      <c r="H8" s="30">
        <v>0.35809064247583888</v>
      </c>
      <c r="I8" s="31">
        <v>290</v>
      </c>
      <c r="J8" s="28">
        <v>744.16785664624604</v>
      </c>
      <c r="K8" s="29">
        <v>249.719706294985</v>
      </c>
      <c r="L8" s="30">
        <v>0.33556905752473787</v>
      </c>
      <c r="M8" s="31">
        <v>33</v>
      </c>
      <c r="N8" s="28">
        <v>1707.60046184814</v>
      </c>
      <c r="O8" s="29">
        <v>274.784424793548</v>
      </c>
      <c r="P8" s="30">
        <v>0.16091845307663374</v>
      </c>
      <c r="Q8" s="31">
        <v>1129</v>
      </c>
      <c r="R8" s="26"/>
      <c r="S8" s="26"/>
      <c r="T8" s="26"/>
    </row>
    <row r="9" spans="1:20" ht="19.5" customHeight="1" x14ac:dyDescent="0.25">
      <c r="A9" s="27" t="s">
        <v>14</v>
      </c>
      <c r="B9" s="28">
        <v>841.87341825333203</v>
      </c>
      <c r="C9" s="29">
        <v>134.49561635186899</v>
      </c>
      <c r="D9" s="30">
        <v>0.15975752819338607</v>
      </c>
      <c r="E9" s="31">
        <v>349</v>
      </c>
      <c r="F9" s="28">
        <v>876.71941636235704</v>
      </c>
      <c r="G9" s="29">
        <v>298.07056217816302</v>
      </c>
      <c r="H9" s="30">
        <v>0.33998398645589872</v>
      </c>
      <c r="I9" s="31">
        <v>132</v>
      </c>
      <c r="J9" s="28">
        <v>504.17725069000102</v>
      </c>
      <c r="K9" s="29">
        <v>228.457316903546</v>
      </c>
      <c r="L9" s="30">
        <v>0.45312896722509111</v>
      </c>
      <c r="M9" s="31">
        <v>20</v>
      </c>
      <c r="N9" s="28">
        <v>833.01526450628796</v>
      </c>
      <c r="O9" s="29">
        <v>130.19546353758199</v>
      </c>
      <c r="P9" s="30">
        <v>0.15629421102474794</v>
      </c>
      <c r="Q9" s="31">
        <v>501</v>
      </c>
      <c r="R9" s="26"/>
      <c r="S9" s="26"/>
      <c r="T9" s="26"/>
    </row>
    <row r="10" spans="1:20" ht="19.5" customHeight="1" x14ac:dyDescent="0.25">
      <c r="A10" s="27" t="s">
        <v>15</v>
      </c>
      <c r="B10" s="28">
        <v>1350.0326587346301</v>
      </c>
      <c r="C10" s="29">
        <v>252.833341284428</v>
      </c>
      <c r="D10" s="30">
        <v>0.18727942590767083</v>
      </c>
      <c r="E10" s="31">
        <v>231</v>
      </c>
      <c r="F10" s="28">
        <v>1492.72938664195</v>
      </c>
      <c r="G10" s="29">
        <v>323.13384073145102</v>
      </c>
      <c r="H10" s="30">
        <v>0.21647181573773006</v>
      </c>
      <c r="I10" s="31">
        <v>134</v>
      </c>
      <c r="J10" s="28">
        <v>632.97310808915302</v>
      </c>
      <c r="K10" s="29">
        <v>228.24625284902601</v>
      </c>
      <c r="L10" s="30">
        <v>0.36059391770697147</v>
      </c>
      <c r="M10" s="31">
        <v>11</v>
      </c>
      <c r="N10" s="28">
        <v>1351.5593417130899</v>
      </c>
      <c r="O10" s="29">
        <v>193.08796162392201</v>
      </c>
      <c r="P10" s="30">
        <v>0.14286310313181266</v>
      </c>
      <c r="Q10" s="31">
        <v>376</v>
      </c>
      <c r="R10" s="26"/>
      <c r="S10" s="26"/>
      <c r="T10" s="26"/>
    </row>
    <row r="11" spans="1:20" ht="19.5" customHeight="1" x14ac:dyDescent="0.25">
      <c r="A11" s="27" t="s">
        <v>16</v>
      </c>
      <c r="B11" s="28">
        <v>714.49778175688698</v>
      </c>
      <c r="C11" s="29">
        <v>113.714819422879</v>
      </c>
      <c r="D11" s="30">
        <v>0.15915349540101342</v>
      </c>
      <c r="E11" s="31">
        <v>227</v>
      </c>
      <c r="F11" s="28">
        <v>767.85439465679997</v>
      </c>
      <c r="G11" s="29">
        <v>397.69142190134801</v>
      </c>
      <c r="H11" s="30">
        <v>0.5179255659259463</v>
      </c>
      <c r="I11" s="31">
        <v>115</v>
      </c>
      <c r="J11" s="28">
        <v>2148.5832804960201</v>
      </c>
      <c r="K11" s="29">
        <v>899.97782703920598</v>
      </c>
      <c r="L11" s="30">
        <v>0.41887034829361508</v>
      </c>
      <c r="M11" s="31">
        <v>11</v>
      </c>
      <c r="N11" s="28">
        <v>735.69468501611505</v>
      </c>
      <c r="O11" s="29">
        <v>128.60940822800001</v>
      </c>
      <c r="P11" s="30">
        <v>0.17481356172252743</v>
      </c>
      <c r="Q11" s="31">
        <v>353</v>
      </c>
      <c r="R11" s="26"/>
      <c r="S11" s="26"/>
      <c r="T11" s="26"/>
    </row>
    <row r="12" spans="1:20" ht="19.5" customHeight="1" x14ac:dyDescent="0.25">
      <c r="A12" s="27" t="s">
        <v>17</v>
      </c>
      <c r="B12" s="28">
        <v>960.62654806929004</v>
      </c>
      <c r="C12" s="29">
        <v>220.87655411900701</v>
      </c>
      <c r="D12" s="30">
        <v>0.22992967929413832</v>
      </c>
      <c r="E12" s="31">
        <v>501</v>
      </c>
      <c r="F12" s="28">
        <v>1751.7846020112299</v>
      </c>
      <c r="G12" s="29">
        <v>410.87764260815402</v>
      </c>
      <c r="H12" s="30">
        <v>0.23454803868947358</v>
      </c>
      <c r="I12" s="31">
        <v>521</v>
      </c>
      <c r="J12" s="28">
        <v>913.77135187476199</v>
      </c>
      <c r="K12" s="29">
        <v>330.24473480590399</v>
      </c>
      <c r="L12" s="30">
        <v>0.36140850129340241</v>
      </c>
      <c r="M12" s="31">
        <v>64</v>
      </c>
      <c r="N12" s="28">
        <v>1280.37991390043</v>
      </c>
      <c r="O12" s="29">
        <v>211.715377652309</v>
      </c>
      <c r="P12" s="30">
        <v>0.16535356057512571</v>
      </c>
      <c r="Q12" s="31">
        <v>1086</v>
      </c>
      <c r="R12" s="26"/>
      <c r="S12" s="26"/>
      <c r="T12" s="26"/>
    </row>
    <row r="13" spans="1:20" ht="19.5" customHeight="1" x14ac:dyDescent="0.25">
      <c r="A13" s="27" t="s">
        <v>18</v>
      </c>
      <c r="B13" s="28">
        <v>2314.7387803615102</v>
      </c>
      <c r="C13" s="29">
        <v>1099.02806241441</v>
      </c>
      <c r="D13" s="30">
        <v>0.47479571852283325</v>
      </c>
      <c r="E13" s="31">
        <v>104</v>
      </c>
      <c r="F13" s="28">
        <v>2026.4478169112699</v>
      </c>
      <c r="G13" s="29">
        <v>512.11003136546697</v>
      </c>
      <c r="H13" s="30">
        <v>0.25271315998949812</v>
      </c>
      <c r="I13" s="31">
        <v>126</v>
      </c>
      <c r="J13" s="28">
        <v>1744.38615505492</v>
      </c>
      <c r="K13" s="29">
        <v>418.64105475240302</v>
      </c>
      <c r="L13" s="30">
        <v>0.23999333722023414</v>
      </c>
      <c r="M13" s="31">
        <v>14</v>
      </c>
      <c r="N13" s="28">
        <v>2165.26043881847</v>
      </c>
      <c r="O13" s="29">
        <v>599.71357912737403</v>
      </c>
      <c r="P13" s="30">
        <v>0.2769706444434108</v>
      </c>
      <c r="Q13" s="31">
        <v>244</v>
      </c>
      <c r="R13" s="26"/>
      <c r="S13" s="26"/>
      <c r="T13" s="26"/>
    </row>
    <row r="14" spans="1:20" ht="19.5" customHeight="1" x14ac:dyDescent="0.25">
      <c r="A14" s="27" t="s">
        <v>19</v>
      </c>
      <c r="B14" s="32">
        <v>385.55751465163303</v>
      </c>
      <c r="C14" s="33">
        <v>63.1577675636576</v>
      </c>
      <c r="D14" s="30">
        <v>0.16380893942820238</v>
      </c>
      <c r="E14" s="31">
        <v>26</v>
      </c>
      <c r="F14" s="32">
        <v>337.799533196808</v>
      </c>
      <c r="G14" s="33">
        <v>89.116260569863996</v>
      </c>
      <c r="H14" s="30">
        <v>0.26381404298135391</v>
      </c>
      <c r="I14" s="31">
        <v>25</v>
      </c>
      <c r="J14" s="32">
        <v>213.6199</v>
      </c>
      <c r="K14" s="33">
        <v>72.818575251997302</v>
      </c>
      <c r="L14" s="30">
        <v>0.34087917488959268</v>
      </c>
      <c r="M14" s="31">
        <v>1</v>
      </c>
      <c r="N14" s="32">
        <v>348.99861154893699</v>
      </c>
      <c r="O14" s="33">
        <v>69.133871327836104</v>
      </c>
      <c r="P14" s="30">
        <v>0.19809210993993331</v>
      </c>
      <c r="Q14" s="31">
        <v>52</v>
      </c>
      <c r="R14" s="26"/>
      <c r="S14" s="26"/>
      <c r="T14" s="26"/>
    </row>
    <row r="15" spans="1:20" ht="19.5" customHeight="1" thickBot="1" x14ac:dyDescent="0.3">
      <c r="A15" s="27" t="s">
        <v>20</v>
      </c>
      <c r="B15" s="32">
        <v>463.84072753781101</v>
      </c>
      <c r="C15" s="34">
        <v>159.43783025349299</v>
      </c>
      <c r="D15" s="30">
        <v>0.34373400347966654</v>
      </c>
      <c r="E15" s="31">
        <v>15</v>
      </c>
      <c r="F15" s="32">
        <v>821.75264973422895</v>
      </c>
      <c r="G15" s="34">
        <v>70.915539541721003</v>
      </c>
      <c r="H15" s="30">
        <v>8.6297914055593852E-2</v>
      </c>
      <c r="I15" s="31">
        <v>9</v>
      </c>
      <c r="J15" s="32">
        <v>199.6885</v>
      </c>
      <c r="K15" s="34">
        <v>26.361426677370901</v>
      </c>
      <c r="L15" s="30">
        <v>0.13201274323444215</v>
      </c>
      <c r="M15" s="31">
        <v>1</v>
      </c>
      <c r="N15" s="32">
        <v>565.12298720527599</v>
      </c>
      <c r="O15" s="34">
        <v>121.38453338949699</v>
      </c>
      <c r="P15" s="30">
        <v>0.21479312669580919</v>
      </c>
      <c r="Q15" s="31">
        <v>25</v>
      </c>
      <c r="R15" s="26"/>
      <c r="S15" s="26"/>
      <c r="T15" s="26"/>
    </row>
    <row r="16" spans="1:20" ht="24.75" customHeight="1" thickTop="1" x14ac:dyDescent="0.25">
      <c r="A16" s="35" t="s">
        <v>4</v>
      </c>
      <c r="B16" s="36">
        <v>1327.48975204097</v>
      </c>
      <c r="C16" s="37">
        <v>149.98961994416501</v>
      </c>
      <c r="D16" s="38">
        <v>0.11298740326511833</v>
      </c>
      <c r="E16" s="39">
        <v>3064</v>
      </c>
      <c r="F16" s="36">
        <v>1465.5272271224401</v>
      </c>
      <c r="G16" s="37">
        <v>182.65966780741701</v>
      </c>
      <c r="H16" s="38">
        <v>0.12463751230747785</v>
      </c>
      <c r="I16" s="39">
        <v>1824</v>
      </c>
      <c r="J16" s="36">
        <v>964.16126007536604</v>
      </c>
      <c r="K16" s="37">
        <v>168.743965356004</v>
      </c>
      <c r="L16" s="38">
        <v>0.17501633009276241</v>
      </c>
      <c r="M16" s="39">
        <v>215</v>
      </c>
      <c r="N16" s="36">
        <v>1366.13001463711</v>
      </c>
      <c r="O16" s="37">
        <v>113.949774958077</v>
      </c>
      <c r="P16" s="38">
        <v>8.3410637155458364E-2</v>
      </c>
      <c r="Q16" s="39">
        <v>5103</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46" t="s">
        <v>32</v>
      </c>
      <c r="B18" s="11" t="s">
        <v>1</v>
      </c>
      <c r="C18" s="12"/>
      <c r="D18" s="12"/>
      <c r="E18" s="13"/>
      <c r="F18" s="11" t="s">
        <v>33</v>
      </c>
      <c r="G18" s="12"/>
      <c r="H18" s="12"/>
      <c r="I18" s="13"/>
      <c r="J18" s="11" t="s">
        <v>3</v>
      </c>
      <c r="K18" s="12"/>
      <c r="L18" s="12"/>
      <c r="M18" s="14"/>
      <c r="N18" s="170" t="s">
        <v>4</v>
      </c>
      <c r="O18" s="171"/>
      <c r="P18" s="171"/>
      <c r="Q18" s="172"/>
    </row>
    <row r="19" spans="1:20" ht="50.25" customHeight="1" x14ac:dyDescent="0.25">
      <c r="A19" s="5" t="s">
        <v>38</v>
      </c>
      <c r="B19" s="17" t="s">
        <v>35</v>
      </c>
      <c r="C19" s="18" t="s">
        <v>36</v>
      </c>
      <c r="D19" s="18" t="s">
        <v>8</v>
      </c>
      <c r="E19" s="19" t="s">
        <v>9</v>
      </c>
      <c r="F19" s="17" t="s">
        <v>35</v>
      </c>
      <c r="G19" s="18" t="s">
        <v>37</v>
      </c>
      <c r="H19" s="18" t="s">
        <v>8</v>
      </c>
      <c r="I19" s="19" t="s">
        <v>9</v>
      </c>
      <c r="J19" s="17" t="s">
        <v>35</v>
      </c>
      <c r="K19" s="18" t="s">
        <v>37</v>
      </c>
      <c r="L19" s="18" t="s">
        <v>8</v>
      </c>
      <c r="M19" s="20" t="s">
        <v>9</v>
      </c>
      <c r="N19" s="17" t="s">
        <v>35</v>
      </c>
      <c r="O19" s="18" t="s">
        <v>37</v>
      </c>
      <c r="P19" s="18" t="s">
        <v>8</v>
      </c>
      <c r="Q19" s="19" t="s">
        <v>9</v>
      </c>
    </row>
    <row r="20" spans="1:20" ht="19.5" customHeight="1" x14ac:dyDescent="0.25">
      <c r="A20" s="21" t="s">
        <v>22</v>
      </c>
      <c r="B20" s="32">
        <v>1542.3467988857201</v>
      </c>
      <c r="C20" s="33">
        <v>194.31221562267601</v>
      </c>
      <c r="D20" s="24">
        <v>0.12598477577355385</v>
      </c>
      <c r="E20" s="25">
        <v>2522</v>
      </c>
      <c r="F20" s="32">
        <v>1434.25078851996</v>
      </c>
      <c r="G20" s="33">
        <v>207.24213693514301</v>
      </c>
      <c r="H20" s="24">
        <v>0.14449504828161988</v>
      </c>
      <c r="I20" s="25">
        <v>1269</v>
      </c>
      <c r="J20" s="32">
        <v>1025.0999522315601</v>
      </c>
      <c r="K20" s="33">
        <v>190.72347110667101</v>
      </c>
      <c r="L20" s="24">
        <v>0.186053536234668</v>
      </c>
      <c r="M20" s="25">
        <v>149</v>
      </c>
      <c r="N20" s="32">
        <v>1485.48450174252</v>
      </c>
      <c r="O20" s="33">
        <v>141.872007157631</v>
      </c>
      <c r="P20" s="24">
        <v>9.5505545154601537E-2</v>
      </c>
      <c r="Q20" s="25">
        <v>3940</v>
      </c>
      <c r="R20" s="26"/>
      <c r="S20" s="26"/>
      <c r="T20" s="26"/>
    </row>
    <row r="21" spans="1:20" ht="19.5" customHeight="1" thickBot="1" x14ac:dyDescent="0.3">
      <c r="A21" s="27" t="s">
        <v>23</v>
      </c>
      <c r="B21" s="32">
        <v>919.44147930080999</v>
      </c>
      <c r="C21" s="34">
        <v>200.67730190563401</v>
      </c>
      <c r="D21" s="30">
        <v>0.21826000503940635</v>
      </c>
      <c r="E21" s="31">
        <v>542</v>
      </c>
      <c r="F21" s="32">
        <v>1505.73626634672</v>
      </c>
      <c r="G21" s="34">
        <v>335.96304946996798</v>
      </c>
      <c r="H21" s="30">
        <v>0.22312210775469699</v>
      </c>
      <c r="I21" s="31">
        <v>555</v>
      </c>
      <c r="J21" s="32">
        <v>877.11787375496999</v>
      </c>
      <c r="K21" s="34">
        <v>313.380610496391</v>
      </c>
      <c r="L21" s="30">
        <v>0.35728448806407109</v>
      </c>
      <c r="M21" s="31">
        <v>66</v>
      </c>
      <c r="N21" s="32">
        <v>1173.79993088779</v>
      </c>
      <c r="O21" s="34">
        <v>183.915070384568</v>
      </c>
      <c r="P21" s="30">
        <v>0.15668349055487332</v>
      </c>
      <c r="Q21" s="31">
        <v>1163</v>
      </c>
      <c r="R21" s="26"/>
      <c r="S21" s="26"/>
      <c r="T21" s="26"/>
    </row>
    <row r="22" spans="1:20" ht="24.75" customHeight="1" thickTop="1" x14ac:dyDescent="0.25">
      <c r="A22" s="35" t="s">
        <v>4</v>
      </c>
      <c r="B22" s="36">
        <v>1327.48975204097</v>
      </c>
      <c r="C22" s="37">
        <v>149.98961994416501</v>
      </c>
      <c r="D22" s="38">
        <v>0.11298740326511833</v>
      </c>
      <c r="E22" s="39">
        <v>3064</v>
      </c>
      <c r="F22" s="36">
        <v>1465.5272271224401</v>
      </c>
      <c r="G22" s="37">
        <v>182.65966780741701</v>
      </c>
      <c r="H22" s="38">
        <v>0.12463751230747785</v>
      </c>
      <c r="I22" s="39">
        <v>1824</v>
      </c>
      <c r="J22" s="36">
        <v>964.16126007536604</v>
      </c>
      <c r="K22" s="37">
        <v>168.743965356004</v>
      </c>
      <c r="L22" s="38">
        <v>0.17501633009276241</v>
      </c>
      <c r="M22" s="39">
        <v>215</v>
      </c>
      <c r="N22" s="36">
        <v>1366.13001463711</v>
      </c>
      <c r="O22" s="37">
        <v>113.949774958077</v>
      </c>
      <c r="P22" s="38">
        <v>8.3410637155458364E-2</v>
      </c>
      <c r="Q22" s="39">
        <v>5103</v>
      </c>
    </row>
    <row r="23" spans="1:20" ht="16.5" customHeight="1" x14ac:dyDescent="0.25">
      <c r="A23" s="40"/>
      <c r="B23" s="41"/>
      <c r="C23" s="41"/>
      <c r="D23" s="41"/>
      <c r="E23" s="41"/>
      <c r="F23" s="41"/>
      <c r="G23" s="41"/>
      <c r="H23" s="41"/>
      <c r="I23" s="41"/>
      <c r="J23" s="41"/>
      <c r="K23" s="41"/>
      <c r="L23" s="41"/>
      <c r="M23" s="41"/>
      <c r="N23" s="41"/>
      <c r="O23" s="41"/>
      <c r="P23" s="41"/>
      <c r="Q23" s="41"/>
    </row>
    <row r="24" spans="1:20" x14ac:dyDescent="0.25">
      <c r="A24" s="40" t="s">
        <v>39</v>
      </c>
      <c r="B24" s="44" t="s">
        <v>26</v>
      </c>
      <c r="C24" s="4" t="s">
        <v>40</v>
      </c>
    </row>
    <row r="25" spans="1:20" x14ac:dyDescent="0.25">
      <c r="A25" s="154" t="s">
        <v>240</v>
      </c>
      <c r="B25" s="45" t="s">
        <v>26</v>
      </c>
      <c r="C25" s="4" t="s">
        <v>29</v>
      </c>
    </row>
    <row r="29" spans="1:20" x14ac:dyDescent="0.25">
      <c r="B29" s="26"/>
      <c r="F29" s="26"/>
      <c r="J29" s="26"/>
      <c r="N29" s="26"/>
    </row>
    <row r="30" spans="1:20" x14ac:dyDescent="0.25">
      <c r="B30" s="47"/>
      <c r="C30" s="48"/>
      <c r="D30" s="48"/>
      <c r="E30" s="47"/>
      <c r="F30" s="47"/>
      <c r="G30" s="48"/>
      <c r="H30" s="48"/>
      <c r="I30" s="47"/>
      <c r="J30" s="47"/>
      <c r="K30" s="48"/>
      <c r="L30" s="48"/>
      <c r="M30" s="47"/>
      <c r="N30" s="47"/>
      <c r="O30" s="48"/>
      <c r="P30" s="48"/>
      <c r="Q30" s="47"/>
    </row>
  </sheetData>
  <mergeCells count="4">
    <mergeCell ref="B2:M2"/>
    <mergeCell ref="N2:Q2"/>
    <mergeCell ref="N3:Q3"/>
    <mergeCell ref="N18:Q18"/>
  </mergeCells>
  <conditionalFormatting sqref="M5:M16">
    <cfRule type="expression" dxfId="1244" priority="56">
      <formula>M5&lt;=1</formula>
    </cfRule>
  </conditionalFormatting>
  <conditionalFormatting sqref="J5:J16">
    <cfRule type="expression" dxfId="1243" priority="50">
      <formula>OR(L5&gt;=0.5,M5&lt;=5)</formula>
    </cfRule>
    <cfRule type="expression" dxfId="1242" priority="53">
      <formula>M5&lt;=1</formula>
    </cfRule>
  </conditionalFormatting>
  <conditionalFormatting sqref="K5:K16">
    <cfRule type="expression" dxfId="1241" priority="51">
      <formula>OR(L5&gt;=0.5,M5&lt;=5)</formula>
    </cfRule>
    <cfRule type="expression" dxfId="1240" priority="54">
      <formula>M5&lt;=1</formula>
    </cfRule>
  </conditionalFormatting>
  <conditionalFormatting sqref="L5:L16">
    <cfRule type="expression" dxfId="1239" priority="52">
      <formula>OR(L5&gt;=0.5,M5&lt;=5)</formula>
    </cfRule>
    <cfRule type="expression" dxfId="1238" priority="55">
      <formula>M5&lt;=1</formula>
    </cfRule>
  </conditionalFormatting>
  <conditionalFormatting sqref="Q5:Q16">
    <cfRule type="expression" dxfId="1237" priority="49">
      <formula>Q5&lt;=1</formula>
    </cfRule>
  </conditionalFormatting>
  <conditionalFormatting sqref="N5:N16">
    <cfRule type="expression" dxfId="1236" priority="43">
      <formula>OR(P5&gt;=0.5,Q5&lt;=5)</formula>
    </cfRule>
    <cfRule type="expression" dxfId="1235" priority="46">
      <formula>Q5&lt;=1</formula>
    </cfRule>
  </conditionalFormatting>
  <conditionalFormatting sqref="O5:O16">
    <cfRule type="expression" dxfId="1234" priority="44">
      <formula>OR(P5&gt;=0.5,Q5&lt;=5)</formula>
    </cfRule>
    <cfRule type="expression" dxfId="1233" priority="47">
      <formula>Q5&lt;=1</formula>
    </cfRule>
  </conditionalFormatting>
  <conditionalFormatting sqref="P5:P16">
    <cfRule type="expression" dxfId="1232" priority="45">
      <formula>OR(P5&gt;=0.5,Q5&lt;=5)</formula>
    </cfRule>
    <cfRule type="expression" dxfId="1231" priority="48">
      <formula>Q5&lt;=1</formula>
    </cfRule>
  </conditionalFormatting>
  <conditionalFormatting sqref="E5:E16">
    <cfRule type="expression" dxfId="1230" priority="42">
      <formula>E5&lt;=1</formula>
    </cfRule>
  </conditionalFormatting>
  <conditionalFormatting sqref="B5:B16">
    <cfRule type="expression" dxfId="1229" priority="36">
      <formula>OR(D5&gt;=0.5,E5&lt;=5)</formula>
    </cfRule>
    <cfRule type="expression" dxfId="1228" priority="39">
      <formula>E5&lt;=1</formula>
    </cfRule>
  </conditionalFormatting>
  <conditionalFormatting sqref="C5:C16">
    <cfRule type="expression" dxfId="1227" priority="37">
      <formula>OR(D5&gt;=0.5,E5&lt;=5)</formula>
    </cfRule>
    <cfRule type="expression" dxfId="1226" priority="40">
      <formula>E5&lt;=1</formula>
    </cfRule>
  </conditionalFormatting>
  <conditionalFormatting sqref="D5:D16">
    <cfRule type="expression" dxfId="1225" priority="38">
      <formula>OR(D5&gt;=0.5,E5&lt;=5)</formula>
    </cfRule>
    <cfRule type="expression" dxfId="1224" priority="41">
      <formula>E5&lt;=1</formula>
    </cfRule>
  </conditionalFormatting>
  <conditionalFormatting sqref="I5:I16">
    <cfRule type="expression" dxfId="1223" priority="35">
      <formula>I5&lt;=1</formula>
    </cfRule>
  </conditionalFormatting>
  <conditionalFormatting sqref="F5:F16">
    <cfRule type="expression" dxfId="1222" priority="29">
      <formula>OR(H5&gt;=0.5,I5&lt;=5)</formula>
    </cfRule>
    <cfRule type="expression" dxfId="1221" priority="32">
      <formula>I5&lt;=1</formula>
    </cfRule>
  </conditionalFormatting>
  <conditionalFormatting sqref="G5:G16">
    <cfRule type="expression" dxfId="1220" priority="30">
      <formula>OR(H5&gt;=0.5,I5&lt;=5)</formula>
    </cfRule>
    <cfRule type="expression" dxfId="1219" priority="33">
      <formula>I5&lt;=1</formula>
    </cfRule>
  </conditionalFormatting>
  <conditionalFormatting sqref="H5:H16">
    <cfRule type="expression" dxfId="1218" priority="31">
      <formula>OR(H5&gt;=0.5,I5&lt;=5)</formula>
    </cfRule>
    <cfRule type="expression" dxfId="1217" priority="34">
      <formula>I5&lt;=1</formula>
    </cfRule>
  </conditionalFormatting>
  <conditionalFormatting sqref="E20:E22">
    <cfRule type="expression" dxfId="1216" priority="26">
      <formula>E20&lt;=1</formula>
    </cfRule>
  </conditionalFormatting>
  <conditionalFormatting sqref="B20:B22">
    <cfRule type="expression" dxfId="1215" priority="22">
      <formula>OR(D20&gt;=0.5,E20&lt;=5)</formula>
    </cfRule>
    <cfRule type="expression" dxfId="1214" priority="24">
      <formula>E20&lt;=1</formula>
    </cfRule>
  </conditionalFormatting>
  <conditionalFormatting sqref="C20:C22">
    <cfRule type="expression" dxfId="1213" priority="23">
      <formula>OR(D20&gt;=0.5,E20&lt;=5)</formula>
    </cfRule>
    <cfRule type="expression" dxfId="1212" priority="25">
      <formula>E20&lt;=1</formula>
    </cfRule>
  </conditionalFormatting>
  <conditionalFormatting sqref="D20:D22">
    <cfRule type="expression" dxfId="1211" priority="27">
      <formula>OR(D20&gt;=0.5,E20&lt;=5)</formula>
    </cfRule>
    <cfRule type="expression" dxfId="1210" priority="28">
      <formula>E20&lt;=1</formula>
    </cfRule>
  </conditionalFormatting>
  <conditionalFormatting sqref="I20:I22">
    <cfRule type="expression" dxfId="1209" priority="19">
      <formula>I20&lt;=1</formula>
    </cfRule>
  </conditionalFormatting>
  <conditionalFormatting sqref="F20:F22">
    <cfRule type="expression" dxfId="1208" priority="15">
      <formula>OR(H20&gt;=0.5,I20&lt;=5)</formula>
    </cfRule>
    <cfRule type="expression" dxfId="1207" priority="17">
      <formula>I20&lt;=1</formula>
    </cfRule>
  </conditionalFormatting>
  <conditionalFormatting sqref="G20:G22">
    <cfRule type="expression" dxfId="1206" priority="16">
      <formula>OR(H20&gt;=0.5,I20&lt;=5)</formula>
    </cfRule>
    <cfRule type="expression" dxfId="1205" priority="18">
      <formula>I20&lt;=1</formula>
    </cfRule>
  </conditionalFormatting>
  <conditionalFormatting sqref="H20:H22">
    <cfRule type="expression" dxfId="1204" priority="20">
      <formula>OR(H20&gt;=0.5,I20&lt;=5)</formula>
    </cfRule>
    <cfRule type="expression" dxfId="1203" priority="21">
      <formula>I20&lt;=1</formula>
    </cfRule>
  </conditionalFormatting>
  <conditionalFormatting sqref="M20:M22">
    <cfRule type="expression" dxfId="1202" priority="12">
      <formula>M20&lt;=1</formula>
    </cfRule>
  </conditionalFormatting>
  <conditionalFormatting sqref="J20:J22">
    <cfRule type="expression" dxfId="1201" priority="8">
      <formula>OR(L20&gt;=0.5,M20&lt;=5)</formula>
    </cfRule>
    <cfRule type="expression" dxfId="1200" priority="10">
      <formula>M20&lt;=1</formula>
    </cfRule>
  </conditionalFormatting>
  <conditionalFormatting sqref="K20:K22">
    <cfRule type="expression" dxfId="1199" priority="9">
      <formula>OR(L20&gt;=0.5,M20&lt;=5)</formula>
    </cfRule>
    <cfRule type="expression" dxfId="1198" priority="11">
      <formula>M20&lt;=1</formula>
    </cfRule>
  </conditionalFormatting>
  <conditionalFormatting sqref="L20:L22">
    <cfRule type="expression" dxfId="1197" priority="13">
      <formula>OR(L20&gt;=0.5,M20&lt;=5)</formula>
    </cfRule>
    <cfRule type="expression" dxfId="1196" priority="14">
      <formula>M20&lt;=1</formula>
    </cfRule>
  </conditionalFormatting>
  <conditionalFormatting sqref="Q20:Q22">
    <cfRule type="expression" dxfId="1195" priority="5">
      <formula>Q20&lt;=1</formula>
    </cfRule>
  </conditionalFormatting>
  <conditionalFormatting sqref="N20:N22">
    <cfRule type="expression" dxfId="1194" priority="1">
      <formula>OR(P20&gt;=0.5,Q20&lt;=5)</formula>
    </cfRule>
    <cfRule type="expression" dxfId="1193" priority="3">
      <formula>Q20&lt;=1</formula>
    </cfRule>
  </conditionalFormatting>
  <conditionalFormatting sqref="O20:O22">
    <cfRule type="expression" dxfId="1192" priority="2">
      <formula>OR(P20&gt;=0.5,Q20&lt;=5)</formula>
    </cfRule>
    <cfRule type="expression" dxfId="1191" priority="4">
      <formula>Q20&lt;=1</formula>
    </cfRule>
  </conditionalFormatting>
  <conditionalFormatting sqref="P20:P22">
    <cfRule type="expression" dxfId="1190" priority="6">
      <formula>OR(P20&gt;=0.5,Q20&lt;=5)</formula>
    </cfRule>
    <cfRule type="expression" dxfId="1189" priority="7">
      <formula>Q20&lt;=1</formula>
    </cfRule>
  </conditionalFormatting>
  <hyperlinks>
    <hyperlink ref="A25" location="Überblick!A1" display="zurück zur Übersicht" xr:uid="{D352CB9E-2E9A-4EAD-809B-5BE048CE76F4}"/>
  </hyperlink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C66C8-E811-4B2A-97C8-9093A2D4F0F5}">
  <dimension ref="A1:AN25"/>
  <sheetViews>
    <sheetView topLeftCell="C3" zoomScaleNormal="100" workbookViewId="0">
      <selection activeCell="V32" sqref="V32"/>
    </sheetView>
  </sheetViews>
  <sheetFormatPr baseColWidth="10" defaultRowHeight="15" x14ac:dyDescent="0.25"/>
  <cols>
    <col min="1" max="1" width="65.140625" customWidth="1"/>
  </cols>
  <sheetData>
    <row r="1" spans="1:40" s="4" customFormat="1" ht="36.75" customHeight="1" x14ac:dyDescent="0.25">
      <c r="A1" s="1" t="s">
        <v>155</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3"/>
    </row>
    <row r="2" spans="1:40" s="4" customFormat="1" ht="36.75" customHeight="1" x14ac:dyDescent="0.25">
      <c r="A2" s="4" t="s">
        <v>31</v>
      </c>
      <c r="B2" s="167" t="s">
        <v>156</v>
      </c>
      <c r="C2" s="168"/>
      <c r="D2" s="168"/>
      <c r="E2" s="168"/>
      <c r="F2" s="168"/>
      <c r="G2" s="168"/>
      <c r="H2" s="168"/>
      <c r="I2" s="168"/>
      <c r="J2" s="168"/>
      <c r="K2" s="168"/>
      <c r="L2" s="168"/>
      <c r="M2" s="168"/>
      <c r="N2" s="168"/>
      <c r="O2" s="168"/>
      <c r="P2" s="168"/>
      <c r="Q2" s="168"/>
      <c r="R2" s="168"/>
      <c r="S2" s="168"/>
      <c r="T2" s="168"/>
      <c r="U2" s="168"/>
      <c r="V2" s="168"/>
      <c r="W2" s="168"/>
      <c r="X2" s="168"/>
      <c r="Y2" s="168"/>
      <c r="Z2" s="168"/>
      <c r="AA2" s="168"/>
      <c r="AB2" s="168"/>
      <c r="AC2" s="168"/>
      <c r="AD2" s="168"/>
      <c r="AE2" s="168"/>
      <c r="AF2" s="168"/>
      <c r="AG2" s="168"/>
      <c r="AH2" s="168"/>
      <c r="AI2" s="168"/>
      <c r="AJ2" s="168"/>
      <c r="AK2" s="173"/>
    </row>
    <row r="3" spans="1:40" s="4" customFormat="1" ht="50.25" customHeight="1" x14ac:dyDescent="0.25">
      <c r="A3" s="46" t="s">
        <v>157</v>
      </c>
      <c r="B3" s="11" t="s">
        <v>145</v>
      </c>
      <c r="C3" s="12"/>
      <c r="D3" s="12"/>
      <c r="E3" s="13"/>
      <c r="F3" s="11" t="s">
        <v>146</v>
      </c>
      <c r="G3" s="12"/>
      <c r="H3" s="12"/>
      <c r="I3" s="13"/>
      <c r="J3" s="11" t="s">
        <v>147</v>
      </c>
      <c r="K3" s="12"/>
      <c r="L3" s="12"/>
      <c r="M3" s="13"/>
      <c r="N3" s="133" t="s">
        <v>158</v>
      </c>
      <c r="O3" s="134"/>
      <c r="P3" s="134"/>
      <c r="Q3" s="135"/>
      <c r="R3" s="11" t="s">
        <v>149</v>
      </c>
      <c r="S3" s="12"/>
      <c r="T3" s="12"/>
      <c r="U3" s="13"/>
      <c r="V3" s="11" t="s">
        <v>150</v>
      </c>
      <c r="W3" s="12"/>
      <c r="X3" s="12"/>
      <c r="Y3" s="13"/>
      <c r="Z3" s="11" t="s">
        <v>151</v>
      </c>
      <c r="AA3" s="12"/>
      <c r="AB3" s="12"/>
      <c r="AC3" s="13"/>
      <c r="AD3" s="174" t="s">
        <v>152</v>
      </c>
      <c r="AE3" s="175"/>
      <c r="AF3" s="175"/>
      <c r="AG3" s="176"/>
      <c r="AH3" s="170" t="s">
        <v>159</v>
      </c>
      <c r="AI3" s="171"/>
      <c r="AJ3" s="171"/>
      <c r="AK3" s="172"/>
    </row>
    <row r="4" spans="1:40" s="4" customFormat="1" ht="50.25" customHeight="1" x14ac:dyDescent="0.25">
      <c r="A4" s="5" t="s">
        <v>34</v>
      </c>
      <c r="B4" s="17" t="s">
        <v>35</v>
      </c>
      <c r="C4" s="18" t="s">
        <v>36</v>
      </c>
      <c r="D4" s="18" t="s">
        <v>8</v>
      </c>
      <c r="E4" s="19" t="s">
        <v>9</v>
      </c>
      <c r="F4" s="17" t="s">
        <v>35</v>
      </c>
      <c r="G4" s="18" t="s">
        <v>36</v>
      </c>
      <c r="H4" s="18" t="s">
        <v>8</v>
      </c>
      <c r="I4" s="19" t="s">
        <v>9</v>
      </c>
      <c r="J4" s="17" t="s">
        <v>35</v>
      </c>
      <c r="K4" s="18" t="s">
        <v>36</v>
      </c>
      <c r="L4" s="18" t="s">
        <v>8</v>
      </c>
      <c r="M4" s="19" t="s">
        <v>9</v>
      </c>
      <c r="N4" s="17" t="s">
        <v>35</v>
      </c>
      <c r="O4" s="18" t="s">
        <v>36</v>
      </c>
      <c r="P4" s="18" t="s">
        <v>8</v>
      </c>
      <c r="Q4" s="19" t="s">
        <v>9</v>
      </c>
      <c r="R4" s="17" t="s">
        <v>35</v>
      </c>
      <c r="S4" s="18" t="s">
        <v>36</v>
      </c>
      <c r="T4" s="18" t="s">
        <v>8</v>
      </c>
      <c r="U4" s="19" t="s">
        <v>9</v>
      </c>
      <c r="V4" s="17" t="s">
        <v>35</v>
      </c>
      <c r="W4" s="18" t="s">
        <v>36</v>
      </c>
      <c r="X4" s="18" t="s">
        <v>8</v>
      </c>
      <c r="Y4" s="19" t="s">
        <v>9</v>
      </c>
      <c r="Z4" s="17" t="s">
        <v>35</v>
      </c>
      <c r="AA4" s="18" t="s">
        <v>36</v>
      </c>
      <c r="AB4" s="18" t="s">
        <v>8</v>
      </c>
      <c r="AC4" s="19" t="s">
        <v>9</v>
      </c>
      <c r="AD4" s="17" t="s">
        <v>35</v>
      </c>
      <c r="AE4" s="18" t="s">
        <v>37</v>
      </c>
      <c r="AF4" s="18" t="s">
        <v>8</v>
      </c>
      <c r="AG4" s="19" t="s">
        <v>9</v>
      </c>
      <c r="AH4" s="17" t="s">
        <v>35</v>
      </c>
      <c r="AI4" s="18" t="s">
        <v>37</v>
      </c>
      <c r="AJ4" s="18" t="s">
        <v>8</v>
      </c>
      <c r="AK4" s="19" t="s">
        <v>9</v>
      </c>
    </row>
    <row r="5" spans="1:40" s="4" customFormat="1" ht="19.5" customHeight="1" x14ac:dyDescent="0.25">
      <c r="A5" s="21" t="s">
        <v>10</v>
      </c>
      <c r="B5" s="53">
        <v>1776.82022729255</v>
      </c>
      <c r="C5" s="54">
        <v>488.52849435684499</v>
      </c>
      <c r="D5" s="24">
        <v>0.27494536974134171</v>
      </c>
      <c r="E5" s="54">
        <v>610</v>
      </c>
      <c r="F5" s="53">
        <v>1489.77919319995</v>
      </c>
      <c r="G5" s="54">
        <v>408.11150001239901</v>
      </c>
      <c r="H5" s="24">
        <v>0.2739409315657052</v>
      </c>
      <c r="I5" s="54">
        <v>321</v>
      </c>
      <c r="J5" s="53">
        <v>736.30469629764605</v>
      </c>
      <c r="K5" s="54">
        <v>145.396030173772</v>
      </c>
      <c r="L5" s="24">
        <v>0.1974672046842367</v>
      </c>
      <c r="M5" s="54">
        <v>20</v>
      </c>
      <c r="N5" s="53">
        <v>1650.8750861528099</v>
      </c>
      <c r="O5" s="54">
        <v>347.09790058809398</v>
      </c>
      <c r="P5" s="24">
        <v>0.21025085634853755</v>
      </c>
      <c r="Q5" s="54">
        <v>951</v>
      </c>
      <c r="R5" s="53">
        <v>1177.3423080382299</v>
      </c>
      <c r="S5" s="54">
        <v>536.92244866382498</v>
      </c>
      <c r="T5" s="24">
        <v>0.45604616855949287</v>
      </c>
      <c r="U5" s="54">
        <v>22</v>
      </c>
      <c r="V5" s="53">
        <v>432.99567760819502</v>
      </c>
      <c r="W5" s="54">
        <v>351.87492055363401</v>
      </c>
      <c r="X5" s="24">
        <v>0.81265227056616307</v>
      </c>
      <c r="Y5" s="54">
        <v>30</v>
      </c>
      <c r="Z5" s="53">
        <v>1014.2969713595299</v>
      </c>
      <c r="AA5" s="54">
        <v>282.62086242257601</v>
      </c>
      <c r="AB5" s="24">
        <v>0.2786371944340526</v>
      </c>
      <c r="AC5" s="54">
        <v>11</v>
      </c>
      <c r="AD5" s="53">
        <v>723.64169580207295</v>
      </c>
      <c r="AE5" s="54">
        <v>356.39385023873302</v>
      </c>
      <c r="AF5" s="24">
        <v>0.49250043537597948</v>
      </c>
      <c r="AG5" s="54">
        <v>63</v>
      </c>
      <c r="AH5" s="53">
        <v>1575.4519882761699</v>
      </c>
      <c r="AI5" s="54">
        <v>320.57601278400699</v>
      </c>
      <c r="AJ5" s="24">
        <v>0.20348193100747886</v>
      </c>
      <c r="AK5" s="54">
        <v>1014</v>
      </c>
      <c r="AL5" s="26"/>
      <c r="AM5" s="26"/>
      <c r="AN5" s="26"/>
    </row>
    <row r="6" spans="1:40" s="4" customFormat="1" ht="19.5" customHeight="1" x14ac:dyDescent="0.25">
      <c r="A6" s="27" t="s">
        <v>11</v>
      </c>
      <c r="B6" s="55">
        <v>3363.5229050789599</v>
      </c>
      <c r="C6" s="56">
        <v>1026.1376696877801</v>
      </c>
      <c r="D6" s="30">
        <v>0.30507824642380166</v>
      </c>
      <c r="E6" s="56">
        <v>63</v>
      </c>
      <c r="F6" s="55">
        <v>5108.1436081332904</v>
      </c>
      <c r="G6" s="56">
        <v>1938.6860737295101</v>
      </c>
      <c r="H6" s="30">
        <v>0.37952849850240988</v>
      </c>
      <c r="I6" s="56">
        <v>45</v>
      </c>
      <c r="J6" s="55">
        <v>1570.8523680118301</v>
      </c>
      <c r="K6" s="56">
        <v>509.79702184723499</v>
      </c>
      <c r="L6" s="30">
        <v>0.32453528557395006</v>
      </c>
      <c r="M6" s="56">
        <v>15</v>
      </c>
      <c r="N6" s="55">
        <v>3456.6057490872399</v>
      </c>
      <c r="O6" s="56">
        <v>877.33154918809498</v>
      </c>
      <c r="P6" s="30">
        <v>0.25381302146470286</v>
      </c>
      <c r="Q6" s="56">
        <v>123</v>
      </c>
      <c r="R6" s="55">
        <v>0</v>
      </c>
      <c r="S6" s="56">
        <v>0</v>
      </c>
      <c r="T6" s="30" t="e">
        <v>#DIV/0!</v>
      </c>
      <c r="U6" s="56">
        <v>0</v>
      </c>
      <c r="V6" s="55">
        <v>0</v>
      </c>
      <c r="W6" s="56">
        <v>0</v>
      </c>
      <c r="X6" s="30" t="e">
        <v>#DIV/0!</v>
      </c>
      <c r="Y6" s="56">
        <v>6</v>
      </c>
      <c r="Z6" s="55">
        <v>253.36269999999999</v>
      </c>
      <c r="AA6" s="56">
        <v>84.226956436306097</v>
      </c>
      <c r="AB6" s="30">
        <v>0.33243629167318672</v>
      </c>
      <c r="AC6" s="56">
        <v>1</v>
      </c>
      <c r="AD6" s="55">
        <v>264.80216923501598</v>
      </c>
      <c r="AE6" s="56">
        <v>155.97859690098201</v>
      </c>
      <c r="AF6" s="30">
        <v>0.58903821426987113</v>
      </c>
      <c r="AG6" s="56">
        <v>7</v>
      </c>
      <c r="AH6" s="55">
        <v>2812.9893682646998</v>
      </c>
      <c r="AI6" s="56">
        <v>736.50180153397798</v>
      </c>
      <c r="AJ6" s="30">
        <v>0.26182175085443615</v>
      </c>
      <c r="AK6" s="56">
        <v>130</v>
      </c>
      <c r="AL6" s="26"/>
      <c r="AM6" s="26"/>
      <c r="AN6" s="26"/>
    </row>
    <row r="7" spans="1:40" s="4" customFormat="1" ht="19.5" customHeight="1" x14ac:dyDescent="0.25">
      <c r="A7" s="27" t="s">
        <v>12</v>
      </c>
      <c r="B7" s="55">
        <v>4421.0663489770996</v>
      </c>
      <c r="C7" s="56">
        <v>736.88055952980699</v>
      </c>
      <c r="D7" s="30">
        <v>0.16667484750603184</v>
      </c>
      <c r="E7" s="56">
        <v>109</v>
      </c>
      <c r="F7" s="55">
        <v>2432.40067416596</v>
      </c>
      <c r="G7" s="56">
        <v>762.47581982212</v>
      </c>
      <c r="H7" s="30">
        <v>0.31346637415464601</v>
      </c>
      <c r="I7" s="56">
        <v>68</v>
      </c>
      <c r="J7" s="55">
        <v>2065.8803519074399</v>
      </c>
      <c r="K7" s="56">
        <v>1127.92319235321</v>
      </c>
      <c r="L7" s="30">
        <v>0.54597701716451852</v>
      </c>
      <c r="M7" s="56">
        <v>13</v>
      </c>
      <c r="N7" s="55">
        <v>3039.3179531400701</v>
      </c>
      <c r="O7" s="56">
        <v>613.96959805810502</v>
      </c>
      <c r="P7" s="30">
        <v>0.20200900581124873</v>
      </c>
      <c r="Q7" s="56">
        <v>190</v>
      </c>
      <c r="R7" s="55">
        <v>986.94680000000005</v>
      </c>
      <c r="S7" s="56">
        <v>38.880939582323599</v>
      </c>
      <c r="T7" s="30">
        <v>3.9395172649958031E-2</v>
      </c>
      <c r="U7" s="56">
        <v>1</v>
      </c>
      <c r="V7" s="55">
        <v>1854.3681490594499</v>
      </c>
      <c r="W7" s="56">
        <v>359.39501260260499</v>
      </c>
      <c r="X7" s="30">
        <v>0.19380995773945586</v>
      </c>
      <c r="Y7" s="56">
        <v>2</v>
      </c>
      <c r="Z7" s="55">
        <v>0</v>
      </c>
      <c r="AA7" s="56">
        <v>0</v>
      </c>
      <c r="AB7" s="30" t="e">
        <v>#DIV/0!</v>
      </c>
      <c r="AC7" s="56">
        <v>0</v>
      </c>
      <c r="AD7" s="55">
        <v>1024.59519186539</v>
      </c>
      <c r="AE7" s="56">
        <v>59.239049597207398</v>
      </c>
      <c r="AF7" s="30">
        <v>5.7817028683646361E-2</v>
      </c>
      <c r="AG7" s="56">
        <v>3</v>
      </c>
      <c r="AH7" s="55">
        <v>2840.4353279440202</v>
      </c>
      <c r="AI7" s="56">
        <v>556.984717789765</v>
      </c>
      <c r="AJ7" s="30">
        <v>0.19609132174571453</v>
      </c>
      <c r="AK7" s="56">
        <v>193</v>
      </c>
      <c r="AL7" s="26"/>
      <c r="AM7" s="26"/>
      <c r="AN7" s="26"/>
    </row>
    <row r="8" spans="1:40" s="4" customFormat="1" ht="19.5" customHeight="1" x14ac:dyDescent="0.25">
      <c r="A8" s="27" t="s">
        <v>13</v>
      </c>
      <c r="B8" s="55">
        <v>2231.0447047491198</v>
      </c>
      <c r="C8" s="56">
        <v>192.997047339001</v>
      </c>
      <c r="D8" s="30">
        <v>8.6505235385098869E-2</v>
      </c>
      <c r="E8" s="56">
        <v>790</v>
      </c>
      <c r="F8" s="55">
        <v>1079.30418003197</v>
      </c>
      <c r="G8" s="56">
        <v>389.218927582795</v>
      </c>
      <c r="H8" s="30">
        <v>0.3606202355032721</v>
      </c>
      <c r="I8" s="56">
        <v>284</v>
      </c>
      <c r="J8" s="55">
        <v>741.01863796611303</v>
      </c>
      <c r="K8" s="56">
        <v>257.94517856316298</v>
      </c>
      <c r="L8" s="30">
        <v>0.34809539915372395</v>
      </c>
      <c r="M8" s="56">
        <v>29</v>
      </c>
      <c r="N8" s="55">
        <v>1710.63892086899</v>
      </c>
      <c r="O8" s="56">
        <v>278.78972857059199</v>
      </c>
      <c r="P8" s="30">
        <v>0.16297403570647695</v>
      </c>
      <c r="Q8" s="56">
        <v>1103</v>
      </c>
      <c r="R8" s="55">
        <v>1774.2276415926699</v>
      </c>
      <c r="S8" s="56">
        <v>633.60969310243195</v>
      </c>
      <c r="T8" s="30">
        <v>0.35711860093311359</v>
      </c>
      <c r="U8" s="56">
        <v>16</v>
      </c>
      <c r="V8" s="55">
        <v>1183.22874242531</v>
      </c>
      <c r="W8" s="56">
        <v>606.14681284656103</v>
      </c>
      <c r="X8" s="30">
        <v>0.51228202215923047</v>
      </c>
      <c r="Y8" s="56">
        <v>6</v>
      </c>
      <c r="Z8" s="55">
        <v>820.72975297317896</v>
      </c>
      <c r="AA8" s="56">
        <v>310.050414820453</v>
      </c>
      <c r="AB8" s="30">
        <v>0.37777406472381814</v>
      </c>
      <c r="AC8" s="56">
        <v>4</v>
      </c>
      <c r="AD8" s="55">
        <v>1475.13373888146</v>
      </c>
      <c r="AE8" s="56">
        <v>410.61285378599399</v>
      </c>
      <c r="AF8" s="30">
        <v>0.27835635709704987</v>
      </c>
      <c r="AG8" s="56">
        <v>26</v>
      </c>
      <c r="AH8" s="55">
        <v>1707.60046184814</v>
      </c>
      <c r="AI8" s="56">
        <v>274.784424793548</v>
      </c>
      <c r="AJ8" s="30">
        <v>0.16091845307663374</v>
      </c>
      <c r="AK8" s="56">
        <v>1129</v>
      </c>
      <c r="AL8" s="26"/>
      <c r="AM8" s="26"/>
      <c r="AN8" s="26"/>
    </row>
    <row r="9" spans="1:40" s="4" customFormat="1" ht="19.5" customHeight="1" x14ac:dyDescent="0.25">
      <c r="A9" s="27" t="s">
        <v>14</v>
      </c>
      <c r="B9" s="55">
        <v>832.820927898685</v>
      </c>
      <c r="C9" s="56">
        <v>149.46333381319201</v>
      </c>
      <c r="D9" s="30">
        <v>0.17946635201676228</v>
      </c>
      <c r="E9" s="56">
        <v>326</v>
      </c>
      <c r="F9" s="55">
        <v>839.33385907444995</v>
      </c>
      <c r="G9" s="56">
        <v>292.935796945569</v>
      </c>
      <c r="H9" s="30">
        <v>0.34900986511922094</v>
      </c>
      <c r="I9" s="56">
        <v>120</v>
      </c>
      <c r="J9" s="55">
        <v>520.16941196547805</v>
      </c>
      <c r="K9" s="56">
        <v>251.34652900886499</v>
      </c>
      <c r="L9" s="30">
        <v>0.48320128640233473</v>
      </c>
      <c r="M9" s="56">
        <v>17</v>
      </c>
      <c r="N9" s="55">
        <v>816.13254001727398</v>
      </c>
      <c r="O9" s="56">
        <v>138.103869836423</v>
      </c>
      <c r="P9" s="30">
        <v>0.16921745312777253</v>
      </c>
      <c r="Q9" s="56">
        <v>463</v>
      </c>
      <c r="R9" s="55">
        <v>892.39039234719098</v>
      </c>
      <c r="S9" s="56">
        <v>260.440088339966</v>
      </c>
      <c r="T9" s="30">
        <v>0.29184546424233565</v>
      </c>
      <c r="U9" s="56">
        <v>23</v>
      </c>
      <c r="V9" s="55">
        <v>1892.3384550592</v>
      </c>
      <c r="W9" s="56">
        <v>1525.4476796307399</v>
      </c>
      <c r="X9" s="30">
        <v>0.80611778276366408</v>
      </c>
      <c r="Y9" s="56">
        <v>12</v>
      </c>
      <c r="Z9" s="55">
        <v>0</v>
      </c>
      <c r="AA9" s="56">
        <v>0</v>
      </c>
      <c r="AB9" s="30" t="e">
        <v>#DIV/0!</v>
      </c>
      <c r="AC9" s="56">
        <v>3</v>
      </c>
      <c r="AD9" s="55">
        <v>966.19460171069102</v>
      </c>
      <c r="AE9" s="56">
        <v>259.71422157889202</v>
      </c>
      <c r="AF9" s="30">
        <v>0.26880115156828271</v>
      </c>
      <c r="AG9" s="56">
        <v>38</v>
      </c>
      <c r="AH9" s="55">
        <v>833.01526450628796</v>
      </c>
      <c r="AI9" s="56">
        <v>130.19546353758199</v>
      </c>
      <c r="AJ9" s="30">
        <v>0.15629421102474794</v>
      </c>
      <c r="AK9" s="56">
        <v>501</v>
      </c>
      <c r="AL9" s="26"/>
      <c r="AM9" s="26"/>
      <c r="AN9" s="26"/>
    </row>
    <row r="10" spans="1:40" s="4" customFormat="1" ht="19.5" customHeight="1" x14ac:dyDescent="0.25">
      <c r="A10" s="27" t="s">
        <v>15</v>
      </c>
      <c r="B10" s="55">
        <v>1370.94765239516</v>
      </c>
      <c r="C10" s="56">
        <v>254.917667265907</v>
      </c>
      <c r="D10" s="30">
        <v>0.18594267025480116</v>
      </c>
      <c r="E10" s="56">
        <v>226</v>
      </c>
      <c r="F10" s="55">
        <v>1566.7656961463599</v>
      </c>
      <c r="G10" s="56">
        <v>351.388046224986</v>
      </c>
      <c r="H10" s="30">
        <v>0.22427606571248351</v>
      </c>
      <c r="I10" s="56">
        <v>128</v>
      </c>
      <c r="J10" s="55">
        <v>638.65303176505199</v>
      </c>
      <c r="K10" s="56">
        <v>235.52918728399601</v>
      </c>
      <c r="L10" s="30">
        <v>0.36879052563652842</v>
      </c>
      <c r="M10" s="56">
        <v>10</v>
      </c>
      <c r="N10" s="55">
        <v>1385.06463340199</v>
      </c>
      <c r="O10" s="56">
        <v>196.992217549206</v>
      </c>
      <c r="P10" s="30">
        <v>0.14222601082907918</v>
      </c>
      <c r="Q10" s="56">
        <v>364</v>
      </c>
      <c r="R10" s="55">
        <v>0</v>
      </c>
      <c r="S10" s="56">
        <v>0</v>
      </c>
      <c r="T10" s="30" t="e">
        <v>#DIV/0!</v>
      </c>
      <c r="U10" s="56">
        <v>5</v>
      </c>
      <c r="V10" s="55">
        <v>139.93317953226</v>
      </c>
      <c r="W10" s="56">
        <v>80.0083556162961</v>
      </c>
      <c r="X10" s="30">
        <v>0.57176114974112402</v>
      </c>
      <c r="Y10" s="56">
        <v>6</v>
      </c>
      <c r="Z10" s="55">
        <v>0</v>
      </c>
      <c r="AA10" s="56">
        <v>0</v>
      </c>
      <c r="AB10" s="30" t="e">
        <v>#DIV/0!</v>
      </c>
      <c r="AC10" s="56">
        <v>1</v>
      </c>
      <c r="AD10" s="55">
        <v>753.02603410394397</v>
      </c>
      <c r="AE10" s="56">
        <v>774.61051268331403</v>
      </c>
      <c r="AF10" s="30">
        <v>1.0286636551750223</v>
      </c>
      <c r="AG10" s="56">
        <v>12</v>
      </c>
      <c r="AH10" s="55">
        <v>1351.5593417130899</v>
      </c>
      <c r="AI10" s="56">
        <v>193.08796162392201</v>
      </c>
      <c r="AJ10" s="30">
        <v>0.14286310313181266</v>
      </c>
      <c r="AK10" s="56">
        <v>376</v>
      </c>
      <c r="AL10" s="26"/>
      <c r="AM10" s="26"/>
      <c r="AN10" s="26"/>
    </row>
    <row r="11" spans="1:40" s="4" customFormat="1" ht="19.5" customHeight="1" x14ac:dyDescent="0.25">
      <c r="A11" s="27" t="s">
        <v>16</v>
      </c>
      <c r="B11" s="55">
        <v>713.15843541217896</v>
      </c>
      <c r="C11" s="56">
        <v>114.06104225839501</v>
      </c>
      <c r="D11" s="30">
        <v>0.15993787157894582</v>
      </c>
      <c r="E11" s="56">
        <v>221</v>
      </c>
      <c r="F11" s="55">
        <v>1157.9322393883201</v>
      </c>
      <c r="G11" s="56">
        <v>589.97396301745698</v>
      </c>
      <c r="H11" s="30">
        <v>0.50950646587844539</v>
      </c>
      <c r="I11" s="56">
        <v>108</v>
      </c>
      <c r="J11" s="55">
        <v>1228.23589350206</v>
      </c>
      <c r="K11" s="56">
        <v>545.03617503579198</v>
      </c>
      <c r="L11" s="30">
        <v>0.44375528994005731</v>
      </c>
      <c r="M11" s="56">
        <v>10</v>
      </c>
      <c r="N11" s="55">
        <v>786.33303717152398</v>
      </c>
      <c r="O11" s="56">
        <v>122.885478525214</v>
      </c>
      <c r="P11" s="30">
        <v>0.15627663180379486</v>
      </c>
      <c r="Q11" s="56">
        <v>339</v>
      </c>
      <c r="R11" s="55">
        <v>1028.4162903300701</v>
      </c>
      <c r="S11" s="56">
        <v>297.56676662713897</v>
      </c>
      <c r="T11" s="30">
        <v>0.28934466463151315</v>
      </c>
      <c r="U11" s="56">
        <v>6</v>
      </c>
      <c r="V11" s="55">
        <v>231.82921896137199</v>
      </c>
      <c r="W11" s="56">
        <v>228.797804933555</v>
      </c>
      <c r="X11" s="30">
        <v>0.98692393460410999</v>
      </c>
      <c r="Y11" s="56">
        <v>7</v>
      </c>
      <c r="Z11" s="55">
        <v>0</v>
      </c>
      <c r="AA11" s="56">
        <v>0</v>
      </c>
      <c r="AB11" s="30" t="e">
        <v>#DIV/0!</v>
      </c>
      <c r="AC11" s="56">
        <v>1</v>
      </c>
      <c r="AD11" s="55">
        <v>301.84802499261701</v>
      </c>
      <c r="AE11" s="56">
        <v>285.36165457811001</v>
      </c>
      <c r="AF11" s="30">
        <v>0.94538188409577883</v>
      </c>
      <c r="AG11" s="56">
        <v>14</v>
      </c>
      <c r="AH11" s="55">
        <v>735.69468501611505</v>
      </c>
      <c r="AI11" s="56">
        <v>128.60940822800001</v>
      </c>
      <c r="AJ11" s="30">
        <v>0.17481356172252743</v>
      </c>
      <c r="AK11" s="56">
        <v>353</v>
      </c>
      <c r="AL11" s="26"/>
      <c r="AM11" s="26"/>
      <c r="AN11" s="26"/>
    </row>
    <row r="12" spans="1:40" s="4" customFormat="1" ht="19.5" customHeight="1" x14ac:dyDescent="0.25">
      <c r="A12" s="27" t="s">
        <v>17</v>
      </c>
      <c r="B12" s="55">
        <v>883.16739711741604</v>
      </c>
      <c r="C12" s="56">
        <v>201.67680756619899</v>
      </c>
      <c r="D12" s="30">
        <v>0.22835626431009012</v>
      </c>
      <c r="E12" s="56">
        <v>459</v>
      </c>
      <c r="F12" s="55">
        <v>2216.4863549675702</v>
      </c>
      <c r="G12" s="56">
        <v>457.26284477030998</v>
      </c>
      <c r="H12" s="30">
        <v>0.20630077137425026</v>
      </c>
      <c r="I12" s="56">
        <v>475</v>
      </c>
      <c r="J12" s="55">
        <v>922.44304288495505</v>
      </c>
      <c r="K12" s="56">
        <v>338.09279531823103</v>
      </c>
      <c r="L12" s="30">
        <v>0.36651888474419031</v>
      </c>
      <c r="M12" s="56">
        <v>58</v>
      </c>
      <c r="N12" s="55">
        <v>1368.0234603779199</v>
      </c>
      <c r="O12" s="56">
        <v>229.03537969023799</v>
      </c>
      <c r="P12" s="30">
        <v>0.16742065200180586</v>
      </c>
      <c r="Q12" s="56">
        <v>992</v>
      </c>
      <c r="R12" s="55">
        <v>2051.67670980915</v>
      </c>
      <c r="S12" s="56">
        <v>1229.97924000489</v>
      </c>
      <c r="T12" s="30">
        <v>0.59949953817007773</v>
      </c>
      <c r="U12" s="56">
        <v>42</v>
      </c>
      <c r="V12" s="55">
        <v>167.10010904427699</v>
      </c>
      <c r="W12" s="56">
        <v>88.305439803497407</v>
      </c>
      <c r="X12" s="30">
        <v>0.52845830148500306</v>
      </c>
      <c r="Y12" s="56">
        <v>46</v>
      </c>
      <c r="Z12" s="55">
        <v>528.87402833855401</v>
      </c>
      <c r="AA12" s="56">
        <v>139.28474657843401</v>
      </c>
      <c r="AB12" s="30">
        <v>0.2633609122686435</v>
      </c>
      <c r="AC12" s="56">
        <v>6</v>
      </c>
      <c r="AD12" s="55">
        <v>706.79679675365901</v>
      </c>
      <c r="AE12" s="56">
        <v>480.56043611378402</v>
      </c>
      <c r="AF12" s="30">
        <v>0.67991314946674053</v>
      </c>
      <c r="AG12" s="56">
        <v>94</v>
      </c>
      <c r="AH12" s="55">
        <v>1280.37991390043</v>
      </c>
      <c r="AI12" s="56">
        <v>211.715377652309</v>
      </c>
      <c r="AJ12" s="30">
        <v>0.16535356057512571</v>
      </c>
      <c r="AK12" s="56">
        <v>1086</v>
      </c>
      <c r="AL12" s="26"/>
      <c r="AM12" s="26"/>
      <c r="AN12" s="26"/>
    </row>
    <row r="13" spans="1:40" s="4" customFormat="1" ht="19.5" customHeight="1" x14ac:dyDescent="0.25">
      <c r="A13" s="27" t="s">
        <v>18</v>
      </c>
      <c r="B13" s="55">
        <v>2418.0694066964602</v>
      </c>
      <c r="C13" s="56">
        <v>1151.82638136225</v>
      </c>
      <c r="D13" s="30">
        <v>0.47634132344276359</v>
      </c>
      <c r="E13" s="56">
        <v>100</v>
      </c>
      <c r="F13" s="55">
        <v>2205.6820243718898</v>
      </c>
      <c r="G13" s="56">
        <v>539.94285390365496</v>
      </c>
      <c r="H13" s="30">
        <v>0.24479632509922369</v>
      </c>
      <c r="I13" s="56">
        <v>117</v>
      </c>
      <c r="J13" s="55">
        <v>2079.8642313465102</v>
      </c>
      <c r="K13" s="56">
        <v>546.79364084317001</v>
      </c>
      <c r="L13" s="30">
        <v>0.26289871838854317</v>
      </c>
      <c r="M13" s="56">
        <v>10</v>
      </c>
      <c r="N13" s="55">
        <v>2315.6034257279698</v>
      </c>
      <c r="O13" s="56">
        <v>648.50476839472196</v>
      </c>
      <c r="P13" s="30">
        <v>0.28005864958972743</v>
      </c>
      <c r="Q13" s="56">
        <v>227</v>
      </c>
      <c r="R13" s="55">
        <v>0</v>
      </c>
      <c r="S13" s="56">
        <v>0</v>
      </c>
      <c r="T13" s="30" t="e">
        <v>#DIV/0!</v>
      </c>
      <c r="U13" s="56">
        <v>4</v>
      </c>
      <c r="V13" s="55">
        <v>0</v>
      </c>
      <c r="W13" s="56">
        <v>0</v>
      </c>
      <c r="X13" s="30" t="e">
        <v>#DIV/0!</v>
      </c>
      <c r="Y13" s="56">
        <v>9</v>
      </c>
      <c r="Z13" s="55">
        <v>0</v>
      </c>
      <c r="AA13" s="56">
        <v>0</v>
      </c>
      <c r="AB13" s="30" t="e">
        <v>#DIV/0!</v>
      </c>
      <c r="AC13" s="56">
        <v>4</v>
      </c>
      <c r="AD13" s="55">
        <v>0</v>
      </c>
      <c r="AE13" s="56">
        <v>0</v>
      </c>
      <c r="AF13" s="30" t="e">
        <v>#DIV/0!</v>
      </c>
      <c r="AG13" s="56">
        <v>17</v>
      </c>
      <c r="AH13" s="55">
        <v>2165.26043881847</v>
      </c>
      <c r="AI13" s="56">
        <v>599.71357912737403</v>
      </c>
      <c r="AJ13" s="30">
        <v>0.2769706444434108</v>
      </c>
      <c r="AK13" s="56">
        <v>244</v>
      </c>
      <c r="AL13" s="26"/>
      <c r="AM13" s="26"/>
      <c r="AN13" s="26"/>
    </row>
    <row r="14" spans="1:40" s="4" customFormat="1" ht="19.5" customHeight="1" x14ac:dyDescent="0.25">
      <c r="A14" s="27" t="s">
        <v>19</v>
      </c>
      <c r="B14" s="114">
        <v>397.33591167572598</v>
      </c>
      <c r="C14" s="58">
        <v>70.265177324724704</v>
      </c>
      <c r="D14" s="30">
        <v>0.17684074169985814</v>
      </c>
      <c r="E14" s="58">
        <v>21</v>
      </c>
      <c r="F14" s="114">
        <v>254.67134430043001</v>
      </c>
      <c r="G14" s="58">
        <v>86.242998537415204</v>
      </c>
      <c r="H14" s="30">
        <v>0.33864429770974269</v>
      </c>
      <c r="I14" s="58">
        <v>19</v>
      </c>
      <c r="J14" s="114">
        <v>0</v>
      </c>
      <c r="K14" s="58">
        <v>0</v>
      </c>
      <c r="L14" s="30" t="e">
        <v>#DIV/0!</v>
      </c>
      <c r="M14" s="58">
        <v>0</v>
      </c>
      <c r="N14" s="114">
        <v>299.60535015011999</v>
      </c>
      <c r="O14" s="58">
        <v>71.994224678956002</v>
      </c>
      <c r="P14" s="30">
        <v>0.24029685932805486</v>
      </c>
      <c r="Q14" s="58">
        <v>40</v>
      </c>
      <c r="R14" s="114">
        <v>276.83629972181899</v>
      </c>
      <c r="S14" s="58">
        <v>140.25543833448</v>
      </c>
      <c r="T14" s="30">
        <v>0.50663673252177088</v>
      </c>
      <c r="U14" s="58">
        <v>5</v>
      </c>
      <c r="V14" s="114">
        <v>474.84693246271797</v>
      </c>
      <c r="W14" s="58">
        <v>27.2696748070728</v>
      </c>
      <c r="X14" s="30">
        <v>5.7428347837571524E-2</v>
      </c>
      <c r="Y14" s="58">
        <v>6</v>
      </c>
      <c r="Z14" s="114">
        <v>0</v>
      </c>
      <c r="AA14" s="58">
        <v>0</v>
      </c>
      <c r="AB14" s="30" t="e">
        <v>#DIV/0!</v>
      </c>
      <c r="AC14" s="58">
        <v>1</v>
      </c>
      <c r="AD14" s="114">
        <v>458.06606649306298</v>
      </c>
      <c r="AE14" s="58">
        <v>38.912995753480601</v>
      </c>
      <c r="AF14" s="30">
        <v>8.4950618698732855E-2</v>
      </c>
      <c r="AG14" s="58">
        <v>12</v>
      </c>
      <c r="AH14" s="114">
        <v>348.99861154893699</v>
      </c>
      <c r="AI14" s="58">
        <v>69.133871327836104</v>
      </c>
      <c r="AJ14" s="30">
        <v>0.19809210993993331</v>
      </c>
      <c r="AK14" s="58">
        <v>52</v>
      </c>
      <c r="AL14" s="26"/>
      <c r="AM14" s="26"/>
      <c r="AN14" s="26"/>
    </row>
    <row r="15" spans="1:40" s="4" customFormat="1" ht="19.5" customHeight="1" thickBot="1" x14ac:dyDescent="0.3">
      <c r="A15" s="27" t="s">
        <v>20</v>
      </c>
      <c r="B15" s="57">
        <v>839.85814038397496</v>
      </c>
      <c r="C15" s="59">
        <v>199.748737287772</v>
      </c>
      <c r="D15" s="30">
        <v>0.23783628172782706</v>
      </c>
      <c r="E15" s="59">
        <v>12</v>
      </c>
      <c r="F15" s="57">
        <v>803.693303614917</v>
      </c>
      <c r="G15" s="59">
        <v>60.676034784912403</v>
      </c>
      <c r="H15" s="30">
        <v>7.5496504091795716E-2</v>
      </c>
      <c r="I15" s="59">
        <v>6</v>
      </c>
      <c r="J15" s="57">
        <v>199.6885</v>
      </c>
      <c r="K15" s="59">
        <v>26.361426677370901</v>
      </c>
      <c r="L15" s="30">
        <v>0.13201274323444215</v>
      </c>
      <c r="M15" s="59">
        <v>1</v>
      </c>
      <c r="N15" s="57">
        <v>752.23743522886195</v>
      </c>
      <c r="O15" s="59">
        <v>100.86157594725201</v>
      </c>
      <c r="P15" s="30">
        <v>0.13408210124050224</v>
      </c>
      <c r="Q15" s="59">
        <v>19</v>
      </c>
      <c r="R15" s="57">
        <v>209.71622162908201</v>
      </c>
      <c r="S15" s="59">
        <v>28.316004124618299</v>
      </c>
      <c r="T15" s="30">
        <v>0.13502057163083864</v>
      </c>
      <c r="U15" s="59">
        <v>3</v>
      </c>
      <c r="V15" s="57">
        <v>0</v>
      </c>
      <c r="W15" s="59">
        <v>0</v>
      </c>
      <c r="X15" s="30" t="e">
        <v>#DIV/0!</v>
      </c>
      <c r="Y15" s="59">
        <v>3</v>
      </c>
      <c r="Z15" s="57">
        <v>0</v>
      </c>
      <c r="AA15" s="59">
        <v>0</v>
      </c>
      <c r="AB15" s="30" t="e">
        <v>#DIV/0!</v>
      </c>
      <c r="AC15" s="59">
        <v>0</v>
      </c>
      <c r="AD15" s="57">
        <v>274.19663424157199</v>
      </c>
      <c r="AE15" s="59">
        <v>64.827239799149993</v>
      </c>
      <c r="AF15" s="30">
        <v>0.23642609610603779</v>
      </c>
      <c r="AG15" s="59">
        <v>6</v>
      </c>
      <c r="AH15" s="57">
        <v>565.12298720527599</v>
      </c>
      <c r="AI15" s="59">
        <v>121.38453338949699</v>
      </c>
      <c r="AJ15" s="30">
        <v>0.21479312669580919</v>
      </c>
      <c r="AK15" s="59">
        <v>25</v>
      </c>
      <c r="AL15" s="26"/>
      <c r="AM15" s="26"/>
      <c r="AN15" s="26"/>
    </row>
    <row r="16" spans="1:40" s="4" customFormat="1" ht="24.75" customHeight="1" thickTop="1" x14ac:dyDescent="0.25">
      <c r="A16" s="35" t="s">
        <v>4</v>
      </c>
      <c r="B16" s="60">
        <v>1335.6776347289799</v>
      </c>
      <c r="C16" s="61">
        <v>157.72256145199401</v>
      </c>
      <c r="D16" s="38">
        <v>0.11808430219316896</v>
      </c>
      <c r="E16" s="61">
        <v>2937</v>
      </c>
      <c r="F16" s="60">
        <v>1731.7954880944901</v>
      </c>
      <c r="G16" s="61">
        <v>202.795989882524</v>
      </c>
      <c r="H16" s="38">
        <v>0.11710158114897401</v>
      </c>
      <c r="I16" s="61">
        <v>1691</v>
      </c>
      <c r="J16" s="60">
        <v>954.79679328606596</v>
      </c>
      <c r="K16" s="61">
        <v>178.90588364881799</v>
      </c>
      <c r="L16" s="38">
        <v>0.18737587401512787</v>
      </c>
      <c r="M16" s="61">
        <v>183</v>
      </c>
      <c r="N16" s="60">
        <v>1457.9699654385299</v>
      </c>
      <c r="O16" s="61">
        <v>122.624428799591</v>
      </c>
      <c r="P16" s="38">
        <v>8.4106279077366231E-2</v>
      </c>
      <c r="Q16" s="61">
        <v>4811</v>
      </c>
      <c r="R16" s="60">
        <v>1214.99350922601</v>
      </c>
      <c r="S16" s="61">
        <v>473.38288667428799</v>
      </c>
      <c r="T16" s="38">
        <v>0.38961762600349042</v>
      </c>
      <c r="U16" s="61">
        <v>127</v>
      </c>
      <c r="V16" s="60">
        <v>339.236510957132</v>
      </c>
      <c r="W16" s="61">
        <v>111.114696619279</v>
      </c>
      <c r="X16" s="38">
        <v>0.32754344839173322</v>
      </c>
      <c r="Y16" s="61">
        <v>133</v>
      </c>
      <c r="Z16" s="60">
        <v>1051.2707884541301</v>
      </c>
      <c r="AA16" s="61">
        <v>290.42023423058299</v>
      </c>
      <c r="AB16" s="38">
        <v>0.27625635318721198</v>
      </c>
      <c r="AC16" s="61">
        <v>32</v>
      </c>
      <c r="AD16" s="60">
        <v>638.93394403830905</v>
      </c>
      <c r="AE16" s="61">
        <v>208.79087440773799</v>
      </c>
      <c r="AF16" s="38">
        <v>0.32678006287801692</v>
      </c>
      <c r="AG16" s="61">
        <v>292</v>
      </c>
      <c r="AH16" s="60">
        <v>1366.13001463711</v>
      </c>
      <c r="AI16" s="61">
        <v>113.949774958077</v>
      </c>
      <c r="AJ16" s="38">
        <v>8.3410637155458364E-2</v>
      </c>
      <c r="AK16" s="61">
        <v>5103</v>
      </c>
    </row>
    <row r="17" spans="1:40" s="4" customFormat="1" ht="16.5" customHeight="1" x14ac:dyDescent="0.25">
      <c r="A17" s="40"/>
      <c r="B17" s="41"/>
      <c r="C17" s="41"/>
      <c r="D17" s="41"/>
      <c r="E17" s="41"/>
      <c r="F17" s="41"/>
      <c r="G17" s="41"/>
      <c r="H17" s="41"/>
      <c r="I17" s="41"/>
      <c r="J17" s="41"/>
      <c r="K17" s="41"/>
      <c r="L17" s="41"/>
      <c r="M17" s="41"/>
      <c r="N17" s="41"/>
      <c r="O17" s="41"/>
      <c r="P17" s="41"/>
      <c r="Q17" s="41"/>
      <c r="R17" s="41"/>
      <c r="S17" s="41"/>
      <c r="T17" s="41"/>
      <c r="U17" s="41"/>
      <c r="V17" s="41"/>
      <c r="W17" s="41"/>
      <c r="X17" s="41"/>
      <c r="Y17" s="41"/>
      <c r="Z17" s="41"/>
      <c r="AA17" s="41"/>
      <c r="AB17" s="41"/>
      <c r="AC17" s="41"/>
      <c r="AD17" s="41"/>
      <c r="AE17" s="41"/>
      <c r="AF17" s="41"/>
      <c r="AG17" s="41"/>
      <c r="AH17" s="41"/>
      <c r="AI17" s="41"/>
      <c r="AJ17" s="41"/>
      <c r="AK17" s="41"/>
    </row>
    <row r="18" spans="1:40" s="4" customFormat="1" ht="50.25" customHeight="1" x14ac:dyDescent="0.25">
      <c r="A18" s="136" t="s">
        <v>32</v>
      </c>
      <c r="B18" s="11" t="s">
        <v>145</v>
      </c>
      <c r="C18" s="12"/>
      <c r="D18" s="12"/>
      <c r="E18" s="13"/>
      <c r="F18" s="11" t="s">
        <v>146</v>
      </c>
      <c r="G18" s="12"/>
      <c r="H18" s="12"/>
      <c r="I18" s="13"/>
      <c r="J18" s="11" t="s">
        <v>147</v>
      </c>
      <c r="K18" s="12"/>
      <c r="L18" s="12"/>
      <c r="M18" s="13"/>
      <c r="N18" s="133" t="s">
        <v>158</v>
      </c>
      <c r="O18" s="134"/>
      <c r="P18" s="134"/>
      <c r="Q18" s="135"/>
      <c r="R18" s="11" t="s">
        <v>149</v>
      </c>
      <c r="S18" s="12"/>
      <c r="T18" s="12"/>
      <c r="U18" s="13"/>
      <c r="V18" s="11" t="s">
        <v>150</v>
      </c>
      <c r="W18" s="12"/>
      <c r="X18" s="12"/>
      <c r="Y18" s="13"/>
      <c r="Z18" s="11" t="s">
        <v>151</v>
      </c>
      <c r="AA18" s="12"/>
      <c r="AB18" s="12"/>
      <c r="AC18" s="13"/>
      <c r="AD18" s="133" t="s">
        <v>152</v>
      </c>
      <c r="AE18" s="134"/>
      <c r="AF18" s="134"/>
      <c r="AG18" s="135"/>
      <c r="AH18" s="170" t="s">
        <v>159</v>
      </c>
      <c r="AI18" s="171"/>
      <c r="AJ18" s="171"/>
      <c r="AK18" s="172"/>
    </row>
    <row r="19" spans="1:40" s="4" customFormat="1" ht="50.25" customHeight="1" x14ac:dyDescent="0.25">
      <c r="A19" s="5" t="s">
        <v>38</v>
      </c>
      <c r="B19" s="17" t="s">
        <v>35</v>
      </c>
      <c r="C19" s="18" t="s">
        <v>36</v>
      </c>
      <c r="D19" s="18" t="s">
        <v>8</v>
      </c>
      <c r="E19" s="19" t="s">
        <v>9</v>
      </c>
      <c r="F19" s="17" t="s">
        <v>35</v>
      </c>
      <c r="G19" s="18" t="s">
        <v>36</v>
      </c>
      <c r="H19" s="18" t="s">
        <v>8</v>
      </c>
      <c r="I19" s="19" t="s">
        <v>9</v>
      </c>
      <c r="J19" s="17" t="s">
        <v>35</v>
      </c>
      <c r="K19" s="18" t="s">
        <v>36</v>
      </c>
      <c r="L19" s="18" t="s">
        <v>8</v>
      </c>
      <c r="M19" s="19" t="s">
        <v>9</v>
      </c>
      <c r="N19" s="17" t="s">
        <v>35</v>
      </c>
      <c r="O19" s="18" t="s">
        <v>36</v>
      </c>
      <c r="P19" s="18" t="s">
        <v>8</v>
      </c>
      <c r="Q19" s="19" t="s">
        <v>9</v>
      </c>
      <c r="R19" s="17" t="s">
        <v>35</v>
      </c>
      <c r="S19" s="18" t="s">
        <v>36</v>
      </c>
      <c r="T19" s="18" t="s">
        <v>8</v>
      </c>
      <c r="U19" s="19" t="s">
        <v>9</v>
      </c>
      <c r="V19" s="17" t="s">
        <v>35</v>
      </c>
      <c r="W19" s="18" t="s">
        <v>36</v>
      </c>
      <c r="X19" s="18" t="s">
        <v>8</v>
      </c>
      <c r="Y19" s="19" t="s">
        <v>9</v>
      </c>
      <c r="Z19" s="17" t="s">
        <v>35</v>
      </c>
      <c r="AA19" s="18" t="s">
        <v>36</v>
      </c>
      <c r="AB19" s="18" t="s">
        <v>8</v>
      </c>
      <c r="AC19" s="19" t="s">
        <v>9</v>
      </c>
      <c r="AD19" s="17" t="s">
        <v>35</v>
      </c>
      <c r="AE19" s="18" t="s">
        <v>37</v>
      </c>
      <c r="AF19" s="18" t="s">
        <v>8</v>
      </c>
      <c r="AG19" s="19" t="s">
        <v>9</v>
      </c>
      <c r="AH19" s="17" t="s">
        <v>35</v>
      </c>
      <c r="AI19" s="18" t="s">
        <v>37</v>
      </c>
      <c r="AJ19" s="18" t="s">
        <v>8</v>
      </c>
      <c r="AK19" s="19" t="s">
        <v>9</v>
      </c>
    </row>
    <row r="20" spans="1:40" s="4" customFormat="1" ht="19.5" customHeight="1" x14ac:dyDescent="0.25">
      <c r="A20" s="21" t="s">
        <v>22</v>
      </c>
      <c r="B20" s="114">
        <v>1574.86502817878</v>
      </c>
      <c r="C20" s="58">
        <v>204.67715844935</v>
      </c>
      <c r="D20" s="30">
        <v>0.12996488891879493</v>
      </c>
      <c r="E20" s="58">
        <v>2445</v>
      </c>
      <c r="F20" s="114">
        <v>1602.4627307563501</v>
      </c>
      <c r="G20" s="58">
        <v>220.237543135723</v>
      </c>
      <c r="H20" s="30">
        <v>0.13743692062764704</v>
      </c>
      <c r="I20" s="58">
        <v>1191</v>
      </c>
      <c r="J20" s="114">
        <v>1005.19280764644</v>
      </c>
      <c r="K20" s="58">
        <v>204.37280112901101</v>
      </c>
      <c r="L20" s="30">
        <v>0.20331701497897683</v>
      </c>
      <c r="M20" s="58">
        <v>124</v>
      </c>
      <c r="N20" s="114">
        <v>1562.8936321241599</v>
      </c>
      <c r="O20" s="58">
        <v>150.44656123096399</v>
      </c>
      <c r="P20" s="30">
        <v>9.6261548539607958E-2</v>
      </c>
      <c r="Q20" s="58">
        <v>3760</v>
      </c>
      <c r="R20" s="114">
        <v>922.92707427934897</v>
      </c>
      <c r="S20" s="58">
        <v>178.98213465051199</v>
      </c>
      <c r="T20" s="30">
        <v>0.19392879420106618</v>
      </c>
      <c r="U20" s="58">
        <v>77</v>
      </c>
      <c r="V20" s="53">
        <v>455.36318730553103</v>
      </c>
      <c r="W20" s="54">
        <v>241.43239404366301</v>
      </c>
      <c r="X20" s="24">
        <v>0.53019743530930452</v>
      </c>
      <c r="Y20" s="25">
        <v>78</v>
      </c>
      <c r="Z20" s="114">
        <v>1166.5611437392099</v>
      </c>
      <c r="AA20" s="58">
        <v>344.46048578045298</v>
      </c>
      <c r="AB20" s="30">
        <v>0.29527855237518413</v>
      </c>
      <c r="AC20" s="58">
        <v>25</v>
      </c>
      <c r="AD20" s="114">
        <v>651.07455549783197</v>
      </c>
      <c r="AE20" s="58">
        <v>207.687710740574</v>
      </c>
      <c r="AF20" s="30">
        <v>0.31899220909004727</v>
      </c>
      <c r="AG20" s="58">
        <v>180</v>
      </c>
      <c r="AH20" s="114">
        <v>1485.48450174252</v>
      </c>
      <c r="AI20" s="58">
        <v>141.872007157631</v>
      </c>
      <c r="AJ20" s="30">
        <v>9.5505545154601537E-2</v>
      </c>
      <c r="AK20" s="58">
        <v>3940</v>
      </c>
      <c r="AL20" s="26"/>
      <c r="AM20" s="26"/>
      <c r="AN20" s="26"/>
    </row>
    <row r="21" spans="1:40" s="4" customFormat="1" ht="19.5" customHeight="1" thickBot="1" x14ac:dyDescent="0.3">
      <c r="A21" s="27" t="s">
        <v>23</v>
      </c>
      <c r="B21" s="57">
        <v>862.14808657628703</v>
      </c>
      <c r="C21" s="59">
        <v>188.24573848882699</v>
      </c>
      <c r="D21" s="30">
        <v>0.21834501684783372</v>
      </c>
      <c r="E21" s="59">
        <v>492</v>
      </c>
      <c r="F21" s="57">
        <v>1919.97580028333</v>
      </c>
      <c r="G21" s="59">
        <v>399.063620675952</v>
      </c>
      <c r="H21" s="30">
        <v>0.20784825549210689</v>
      </c>
      <c r="I21" s="59">
        <v>500</v>
      </c>
      <c r="J21" s="57">
        <v>887.91093048823302</v>
      </c>
      <c r="K21" s="59">
        <v>322.07583414932702</v>
      </c>
      <c r="L21" s="30">
        <v>0.36273439496034598</v>
      </c>
      <c r="M21" s="59">
        <v>59</v>
      </c>
      <c r="N21" s="57">
        <v>1274.97538506506</v>
      </c>
      <c r="O21" s="59">
        <v>204.227355915636</v>
      </c>
      <c r="P21" s="30">
        <v>0.1601814108005031</v>
      </c>
      <c r="Q21" s="59">
        <v>1051</v>
      </c>
      <c r="R21" s="57">
        <v>1535.40785782426</v>
      </c>
      <c r="S21" s="59">
        <v>941.62708849430499</v>
      </c>
      <c r="T21" s="30">
        <v>0.61327489220266962</v>
      </c>
      <c r="U21" s="59">
        <v>50</v>
      </c>
      <c r="V21" s="55">
        <v>249.62349205035301</v>
      </c>
      <c r="W21" s="56">
        <v>107.5843836538</v>
      </c>
      <c r="X21" s="30">
        <v>0.43098661416089207</v>
      </c>
      <c r="Y21" s="31">
        <v>55</v>
      </c>
      <c r="Z21" s="57">
        <v>469.22131740323198</v>
      </c>
      <c r="AA21" s="59">
        <v>125.71702882839099</v>
      </c>
      <c r="AB21" s="30">
        <v>0.26792693376365567</v>
      </c>
      <c r="AC21" s="59">
        <v>7</v>
      </c>
      <c r="AD21" s="57">
        <v>628.042615220637</v>
      </c>
      <c r="AE21" s="59">
        <v>350.39339963684802</v>
      </c>
      <c r="AF21" s="30">
        <v>0.55791341406625994</v>
      </c>
      <c r="AG21" s="59">
        <v>112</v>
      </c>
      <c r="AH21" s="57">
        <v>1173.79993088779</v>
      </c>
      <c r="AI21" s="59">
        <v>183.915070384568</v>
      </c>
      <c r="AJ21" s="30">
        <v>0.15668349055487332</v>
      </c>
      <c r="AK21" s="59">
        <v>1163</v>
      </c>
      <c r="AL21" s="26"/>
      <c r="AM21" s="26"/>
      <c r="AN21" s="26"/>
    </row>
    <row r="22" spans="1:40" s="4" customFormat="1" ht="24.75" customHeight="1" thickTop="1" x14ac:dyDescent="0.25">
      <c r="A22" s="35" t="s">
        <v>4</v>
      </c>
      <c r="B22" s="60">
        <v>1335.6776347289799</v>
      </c>
      <c r="C22" s="61">
        <v>157.72256145199401</v>
      </c>
      <c r="D22" s="38">
        <v>0.11808430219316896</v>
      </c>
      <c r="E22" s="61">
        <v>2937</v>
      </c>
      <c r="F22" s="60">
        <v>1731.7954880944901</v>
      </c>
      <c r="G22" s="61">
        <v>202.795989882524</v>
      </c>
      <c r="H22" s="38">
        <v>0.11710158114897401</v>
      </c>
      <c r="I22" s="61">
        <v>1691</v>
      </c>
      <c r="J22" s="60">
        <v>954.79679328606596</v>
      </c>
      <c r="K22" s="61">
        <v>178.90588364881799</v>
      </c>
      <c r="L22" s="38">
        <v>0.18737587401512787</v>
      </c>
      <c r="M22" s="61">
        <v>183</v>
      </c>
      <c r="N22" s="60">
        <v>1457.9699654385299</v>
      </c>
      <c r="O22" s="61">
        <v>122.624428799591</v>
      </c>
      <c r="P22" s="38">
        <v>8.4106279077366231E-2</v>
      </c>
      <c r="Q22" s="61">
        <v>4811</v>
      </c>
      <c r="R22" s="60">
        <v>1214.99350922601</v>
      </c>
      <c r="S22" s="61">
        <v>473.38288667428799</v>
      </c>
      <c r="T22" s="38">
        <v>0.38961762600349042</v>
      </c>
      <c r="U22" s="61">
        <v>127</v>
      </c>
      <c r="V22" s="60">
        <v>339.236510957132</v>
      </c>
      <c r="W22" s="61">
        <v>111.114696619279</v>
      </c>
      <c r="X22" s="38">
        <v>0.32754344839173322</v>
      </c>
      <c r="Y22" s="39">
        <v>133</v>
      </c>
      <c r="Z22" s="60">
        <v>1051.2707884541301</v>
      </c>
      <c r="AA22" s="61">
        <v>290.42023423058299</v>
      </c>
      <c r="AB22" s="38">
        <v>0.27625635318721198</v>
      </c>
      <c r="AC22" s="61">
        <v>32</v>
      </c>
      <c r="AD22" s="60">
        <v>638.93394403830905</v>
      </c>
      <c r="AE22" s="61">
        <v>208.79087440773799</v>
      </c>
      <c r="AF22" s="38">
        <v>0.32678006287801692</v>
      </c>
      <c r="AG22" s="61">
        <v>292</v>
      </c>
      <c r="AH22" s="60">
        <v>1366.13001463711</v>
      </c>
      <c r="AI22" s="61">
        <v>113.949774958077</v>
      </c>
      <c r="AJ22" s="38">
        <v>8.3410637155458364E-2</v>
      </c>
      <c r="AK22" s="61">
        <v>5103</v>
      </c>
    </row>
    <row r="23" spans="1:40" s="4" customFormat="1" ht="16.5" customHeight="1" x14ac:dyDescent="0.25">
      <c r="A23" s="40"/>
      <c r="B23" s="41"/>
      <c r="C23" s="41"/>
      <c r="D23" s="41"/>
      <c r="E23" s="41"/>
      <c r="F23" s="41"/>
      <c r="G23" s="41"/>
      <c r="H23" s="41"/>
      <c r="I23" s="41"/>
      <c r="J23" s="41"/>
      <c r="K23" s="41"/>
      <c r="L23" s="41"/>
      <c r="M23" s="41"/>
      <c r="N23" s="41"/>
      <c r="O23" s="41"/>
      <c r="P23" s="41"/>
      <c r="Q23" s="41"/>
      <c r="R23" s="41"/>
      <c r="S23" s="41"/>
      <c r="T23" s="41"/>
      <c r="U23" s="41"/>
      <c r="V23" s="41"/>
      <c r="W23" s="41"/>
      <c r="X23" s="41"/>
      <c r="Y23" s="41"/>
      <c r="Z23" s="41"/>
      <c r="AA23" s="41"/>
      <c r="AB23" s="41"/>
      <c r="AC23" s="41"/>
      <c r="AD23" s="41"/>
      <c r="AE23" s="41"/>
      <c r="AF23" s="41"/>
      <c r="AG23" s="41"/>
      <c r="AH23" s="41"/>
      <c r="AI23" s="41"/>
      <c r="AJ23" s="41"/>
      <c r="AK23" s="41"/>
    </row>
    <row r="24" spans="1:40" s="4" customFormat="1" x14ac:dyDescent="0.25">
      <c r="A24" s="40" t="s">
        <v>160</v>
      </c>
      <c r="B24" s="44" t="s">
        <v>26</v>
      </c>
      <c r="C24" s="4" t="s">
        <v>40</v>
      </c>
      <c r="F24" s="44"/>
      <c r="J24" s="44"/>
      <c r="N24" s="44"/>
      <c r="R24" s="44"/>
      <c r="V24" s="44"/>
      <c r="Z24" s="44"/>
    </row>
    <row r="25" spans="1:40" s="4" customFormat="1" x14ac:dyDescent="0.25">
      <c r="A25" s="154" t="s">
        <v>240</v>
      </c>
      <c r="B25" s="45" t="s">
        <v>26</v>
      </c>
      <c r="C25" s="4" t="s">
        <v>29</v>
      </c>
      <c r="F25" s="45"/>
      <c r="J25" s="45"/>
      <c r="N25" s="45"/>
      <c r="R25" s="45"/>
      <c r="V25" s="45"/>
      <c r="Z25" s="45"/>
    </row>
  </sheetData>
  <mergeCells count="4">
    <mergeCell ref="B2:AK2"/>
    <mergeCell ref="AD3:AG3"/>
    <mergeCell ref="AH3:AK3"/>
    <mergeCell ref="AH18:AK18"/>
  </mergeCells>
  <conditionalFormatting sqref="AH5:AH16">
    <cfRule type="expression" dxfId="1188" priority="182">
      <formula>OR(AJ5&gt;=0.5,AK5&lt;=5)</formula>
    </cfRule>
    <cfRule type="expression" dxfId="1187" priority="184">
      <formula>AK5&lt;=1</formula>
    </cfRule>
  </conditionalFormatting>
  <conditionalFormatting sqref="AI5:AI16">
    <cfRule type="expression" dxfId="1186" priority="183">
      <formula>OR(AJ5&gt;=0.5,AK5&lt;=5)</formula>
    </cfRule>
    <cfRule type="expression" dxfId="1185" priority="185">
      <formula>AK5&lt;=1</formula>
    </cfRule>
  </conditionalFormatting>
  <conditionalFormatting sqref="AJ5:AJ16">
    <cfRule type="expression" dxfId="1184" priority="186">
      <formula>OR(AJ5&gt;=0.5,AK5&lt;=5)</formula>
    </cfRule>
    <cfRule type="expression" dxfId="1183" priority="187">
      <formula>AK5&lt;=1</formula>
    </cfRule>
  </conditionalFormatting>
  <conditionalFormatting sqref="AK5:AK16">
    <cfRule type="expression" dxfId="1182" priority="180">
      <formula>OR(AJ5&gt;=0.5,AK5&lt;=5)</formula>
    </cfRule>
    <cfRule type="expression" dxfId="1181" priority="181">
      <formula>AK5&lt;=1</formula>
    </cfRule>
  </conditionalFormatting>
  <conditionalFormatting sqref="AD5:AD16">
    <cfRule type="expression" dxfId="1180" priority="174">
      <formula>OR(AF5&gt;=0.5,AG5&lt;=5)</formula>
    </cfRule>
    <cfRule type="expression" dxfId="1179" priority="176">
      <formula>AG5&lt;=1</formula>
    </cfRule>
  </conditionalFormatting>
  <conditionalFormatting sqref="AE5:AE16">
    <cfRule type="expression" dxfId="1178" priority="175">
      <formula>OR(AF5&gt;=0.5,AG5&lt;=5)</formula>
    </cfRule>
    <cfRule type="expression" dxfId="1177" priority="177">
      <formula>AG5&lt;=1</formula>
    </cfRule>
  </conditionalFormatting>
  <conditionalFormatting sqref="AF5:AF16">
    <cfRule type="expression" dxfId="1176" priority="178">
      <formula>OR(AF5&gt;=0.5,AG5&lt;=5)</formula>
    </cfRule>
    <cfRule type="expression" dxfId="1175" priority="179">
      <formula>AG5&lt;=1</formula>
    </cfRule>
  </conditionalFormatting>
  <conditionalFormatting sqref="AG5:AG16">
    <cfRule type="expression" dxfId="1174" priority="172">
      <formula>OR(AF5&gt;=0.5,AG5&lt;=5)</formula>
    </cfRule>
    <cfRule type="expression" dxfId="1173" priority="173">
      <formula>AG5&lt;=1</formula>
    </cfRule>
  </conditionalFormatting>
  <conditionalFormatting sqref="Z5:Z16">
    <cfRule type="expression" dxfId="1172" priority="166">
      <formula>OR(AB5&gt;=0.5,AC5&lt;=5)</formula>
    </cfRule>
    <cfRule type="expression" dxfId="1171" priority="168">
      <formula>AC5&lt;=1</formula>
    </cfRule>
  </conditionalFormatting>
  <conditionalFormatting sqref="AA5:AA16">
    <cfRule type="expression" dxfId="1170" priority="167">
      <formula>OR(AB5&gt;=0.5,AC5&lt;=5)</formula>
    </cfRule>
    <cfRule type="expression" dxfId="1169" priority="169">
      <formula>AC5&lt;=1</formula>
    </cfRule>
  </conditionalFormatting>
  <conditionalFormatting sqref="AB5:AB16">
    <cfRule type="expression" dxfId="1168" priority="170">
      <formula>OR(AB5&gt;=0.5,AC5&lt;=5)</formula>
    </cfRule>
    <cfRule type="expression" dxfId="1167" priority="171">
      <formula>AC5&lt;=1</formula>
    </cfRule>
  </conditionalFormatting>
  <conditionalFormatting sqref="AC5:AC16">
    <cfRule type="expression" dxfId="1166" priority="164">
      <formula>OR(AB5&gt;=0.5,AC5&lt;=5)</formula>
    </cfRule>
    <cfRule type="expression" dxfId="1165" priority="165">
      <formula>AC5&lt;=1</formula>
    </cfRule>
  </conditionalFormatting>
  <conditionalFormatting sqref="B16">
    <cfRule type="expression" dxfId="1164" priority="158">
      <formula>OR(D16&gt;=0.5,E16&lt;=5)</formula>
    </cfRule>
    <cfRule type="expression" dxfId="1163" priority="160">
      <formula>E16&lt;=1</formula>
    </cfRule>
  </conditionalFormatting>
  <conditionalFormatting sqref="C16">
    <cfRule type="expression" dxfId="1162" priority="159">
      <formula>OR(D16&gt;=0.5,E16&lt;=5)</formula>
    </cfRule>
    <cfRule type="expression" dxfId="1161" priority="161">
      <formula>E16&lt;=1</formula>
    </cfRule>
  </conditionalFormatting>
  <conditionalFormatting sqref="D16">
    <cfRule type="expression" dxfId="1160" priority="162">
      <formula>OR(D16&gt;=0.5,E16&lt;=5)</formula>
    </cfRule>
    <cfRule type="expression" dxfId="1159" priority="163">
      <formula>E16&lt;=1</formula>
    </cfRule>
  </conditionalFormatting>
  <conditionalFormatting sqref="E5:E16">
    <cfRule type="expression" dxfId="1158" priority="156">
      <formula>OR(D5&gt;=0.5,E5&lt;=5)</formula>
    </cfRule>
    <cfRule type="expression" dxfId="1157" priority="157">
      <formula>E5&lt;=1</formula>
    </cfRule>
  </conditionalFormatting>
  <conditionalFormatting sqref="F16">
    <cfRule type="expression" dxfId="1156" priority="150">
      <formula>OR(H16&gt;=0.5,I16&lt;=5)</formula>
    </cfRule>
    <cfRule type="expression" dxfId="1155" priority="152">
      <formula>I16&lt;=1</formula>
    </cfRule>
  </conditionalFormatting>
  <conditionalFormatting sqref="G16">
    <cfRule type="expression" dxfId="1154" priority="151">
      <formula>OR(H16&gt;=0.5,I16&lt;=5)</formula>
    </cfRule>
    <cfRule type="expression" dxfId="1153" priority="153">
      <formula>I16&lt;=1</formula>
    </cfRule>
  </conditionalFormatting>
  <conditionalFormatting sqref="H16">
    <cfRule type="expression" dxfId="1152" priority="154">
      <formula>OR(H16&gt;=0.5,I16&lt;=5)</formula>
    </cfRule>
    <cfRule type="expression" dxfId="1151" priority="155">
      <formula>I16&lt;=1</formula>
    </cfRule>
  </conditionalFormatting>
  <conditionalFormatting sqref="I5:I16">
    <cfRule type="expression" dxfId="1150" priority="148">
      <formula>OR(H5&gt;=0.5,I5&lt;=5)</formula>
    </cfRule>
    <cfRule type="expression" dxfId="1149" priority="149">
      <formula>I5&lt;=1</formula>
    </cfRule>
  </conditionalFormatting>
  <conditionalFormatting sqref="J16">
    <cfRule type="expression" dxfId="1148" priority="142">
      <formula>OR(L16&gt;=0.5,M16&lt;=5)</formula>
    </cfRule>
    <cfRule type="expression" dxfId="1147" priority="144">
      <formula>M16&lt;=1</formula>
    </cfRule>
  </conditionalFormatting>
  <conditionalFormatting sqref="K16">
    <cfRule type="expression" dxfId="1146" priority="143">
      <formula>OR(L16&gt;=0.5,M16&lt;=5)</formula>
    </cfRule>
    <cfRule type="expression" dxfId="1145" priority="145">
      <formula>M16&lt;=1</formula>
    </cfRule>
  </conditionalFormatting>
  <conditionalFormatting sqref="L16">
    <cfRule type="expression" dxfId="1144" priority="146">
      <formula>OR(L16&gt;=0.5,M16&lt;=5)</formula>
    </cfRule>
    <cfRule type="expression" dxfId="1143" priority="147">
      <formula>M16&lt;=1</formula>
    </cfRule>
  </conditionalFormatting>
  <conditionalFormatting sqref="M5:M16">
    <cfRule type="expression" dxfId="1142" priority="140">
      <formula>OR(L5&gt;=0.5,M5&lt;=5)</formula>
    </cfRule>
    <cfRule type="expression" dxfId="1141" priority="141">
      <formula>M5&lt;=1</formula>
    </cfRule>
  </conditionalFormatting>
  <conditionalFormatting sqref="N16">
    <cfRule type="expression" dxfId="1140" priority="134">
      <formula>OR(P16&gt;=0.5,Q16&lt;=5)</formula>
    </cfRule>
    <cfRule type="expression" dxfId="1139" priority="136">
      <formula>Q16&lt;=1</formula>
    </cfRule>
  </conditionalFormatting>
  <conditionalFormatting sqref="O16">
    <cfRule type="expression" dxfId="1138" priority="135">
      <formula>OR(P16&gt;=0.5,Q16&lt;=5)</formula>
    </cfRule>
    <cfRule type="expression" dxfId="1137" priority="137">
      <formula>Q16&lt;=1</formula>
    </cfRule>
  </conditionalFormatting>
  <conditionalFormatting sqref="P16">
    <cfRule type="expression" dxfId="1136" priority="138">
      <formula>OR(P16&gt;=0.5,Q16&lt;=5)</formula>
    </cfRule>
    <cfRule type="expression" dxfId="1135" priority="139">
      <formula>Q16&lt;=1</formula>
    </cfRule>
  </conditionalFormatting>
  <conditionalFormatting sqref="Q5:Q16">
    <cfRule type="expression" dxfId="1134" priority="132">
      <formula>OR(P5&gt;=0.5,Q5&lt;=5)</formula>
    </cfRule>
    <cfRule type="expression" dxfId="1133" priority="133">
      <formula>Q5&lt;=1</formula>
    </cfRule>
  </conditionalFormatting>
  <conditionalFormatting sqref="R16">
    <cfRule type="expression" dxfId="1132" priority="126">
      <formula>OR(T16&gt;=0.5,U16&lt;=5)</formula>
    </cfRule>
    <cfRule type="expression" dxfId="1131" priority="128">
      <formula>U16&lt;=1</formula>
    </cfRule>
  </conditionalFormatting>
  <conditionalFormatting sqref="S16">
    <cfRule type="expression" dxfId="1130" priority="127">
      <formula>OR(T16&gt;=0.5,U16&lt;=5)</formula>
    </cfRule>
    <cfRule type="expression" dxfId="1129" priority="129">
      <formula>U16&lt;=1</formula>
    </cfRule>
  </conditionalFormatting>
  <conditionalFormatting sqref="T16">
    <cfRule type="expression" dxfId="1128" priority="130">
      <formula>OR(T16&gt;=0.5,U16&lt;=5)</formula>
    </cfRule>
    <cfRule type="expression" dxfId="1127" priority="131">
      <formula>U16&lt;=1</formula>
    </cfRule>
  </conditionalFormatting>
  <conditionalFormatting sqref="U5:U16">
    <cfRule type="expression" dxfId="1126" priority="124">
      <formula>OR(T5&gt;=0.5,U5&lt;=5)</formula>
    </cfRule>
    <cfRule type="expression" dxfId="1125" priority="125">
      <formula>U5&lt;=1</formula>
    </cfRule>
  </conditionalFormatting>
  <conditionalFormatting sqref="V5:V16">
    <cfRule type="expression" dxfId="1124" priority="118">
      <formula>OR(X5&gt;=0.5,Y5&lt;=5)</formula>
    </cfRule>
    <cfRule type="expression" dxfId="1123" priority="120">
      <formula>Y5&lt;=1</formula>
    </cfRule>
  </conditionalFormatting>
  <conditionalFormatting sqref="W5:W16">
    <cfRule type="expression" dxfId="1122" priority="119">
      <formula>OR(X5&gt;=0.5,Y5&lt;=5)</formula>
    </cfRule>
    <cfRule type="expression" dxfId="1121" priority="121">
      <formula>Y5&lt;=1</formula>
    </cfRule>
  </conditionalFormatting>
  <conditionalFormatting sqref="X5:X16">
    <cfRule type="expression" dxfId="1120" priority="122">
      <formula>OR(X5&gt;=0.5,Y5&lt;=5)</formula>
    </cfRule>
    <cfRule type="expression" dxfId="1119" priority="123">
      <formula>Y5&lt;=1</formula>
    </cfRule>
  </conditionalFormatting>
  <conditionalFormatting sqref="Y5:Y16">
    <cfRule type="expression" dxfId="1118" priority="116">
      <formula>OR(X5&gt;=0.5,Y5&lt;=5)</formula>
    </cfRule>
    <cfRule type="expression" dxfId="1117" priority="117">
      <formula>Y5&lt;=1</formula>
    </cfRule>
  </conditionalFormatting>
  <conditionalFormatting sqref="R5:R15">
    <cfRule type="expression" dxfId="1116" priority="110">
      <formula>OR(T5&gt;=0.5,U5&lt;=5)</formula>
    </cfRule>
    <cfRule type="expression" dxfId="1115" priority="112">
      <formula>U5&lt;=1</formula>
    </cfRule>
  </conditionalFormatting>
  <conditionalFormatting sqref="S5:S15">
    <cfRule type="expression" dxfId="1114" priority="111">
      <formula>OR(T5&gt;=0.5,U5&lt;=5)</formula>
    </cfRule>
    <cfRule type="expression" dxfId="1113" priority="113">
      <formula>U5&lt;=1</formula>
    </cfRule>
  </conditionalFormatting>
  <conditionalFormatting sqref="T5:T15">
    <cfRule type="expression" dxfId="1112" priority="114">
      <formula>OR(T5&gt;=0.5,U5&lt;=5)</formula>
    </cfRule>
    <cfRule type="expression" dxfId="1111" priority="115">
      <formula>U5&lt;=1</formula>
    </cfRule>
  </conditionalFormatting>
  <conditionalFormatting sqref="N5:N15">
    <cfRule type="expression" dxfId="1110" priority="104">
      <formula>OR(P5&gt;=0.5,Q5&lt;=5)</formula>
    </cfRule>
    <cfRule type="expression" dxfId="1109" priority="106">
      <formula>Q5&lt;=1</formula>
    </cfRule>
  </conditionalFormatting>
  <conditionalFormatting sqref="O5:O15">
    <cfRule type="expression" dxfId="1108" priority="105">
      <formula>OR(P5&gt;=0.5,Q5&lt;=5)</formula>
    </cfRule>
    <cfRule type="expression" dxfId="1107" priority="107">
      <formula>Q5&lt;=1</formula>
    </cfRule>
  </conditionalFormatting>
  <conditionalFormatting sqref="P5:P15">
    <cfRule type="expression" dxfId="1106" priority="108">
      <formula>OR(P5&gt;=0.5,Q5&lt;=5)</formula>
    </cfRule>
    <cfRule type="expression" dxfId="1105" priority="109">
      <formula>Q5&lt;=1</formula>
    </cfRule>
  </conditionalFormatting>
  <conditionalFormatting sqref="B5:B15">
    <cfRule type="expression" dxfId="1104" priority="98">
      <formula>OR(D5&gt;=0.5,E5&lt;=5)</formula>
    </cfRule>
    <cfRule type="expression" dxfId="1103" priority="100">
      <formula>E5&lt;=1</formula>
    </cfRule>
  </conditionalFormatting>
  <conditionalFormatting sqref="C5:C15">
    <cfRule type="expression" dxfId="1102" priority="99">
      <formula>OR(D5&gt;=0.5,E5&lt;=5)</formula>
    </cfRule>
    <cfRule type="expression" dxfId="1101" priority="101">
      <formula>E5&lt;=1</formula>
    </cfRule>
  </conditionalFormatting>
  <conditionalFormatting sqref="D5:D15">
    <cfRule type="expression" dxfId="1100" priority="102">
      <formula>OR(D5&gt;=0.5,E5&lt;=5)</formula>
    </cfRule>
    <cfRule type="expression" dxfId="1099" priority="103">
      <formula>E5&lt;=1</formula>
    </cfRule>
  </conditionalFormatting>
  <conditionalFormatting sqref="F5:F15">
    <cfRule type="expression" dxfId="1098" priority="92">
      <formula>OR(H5&gt;=0.5,I5&lt;=5)</formula>
    </cfRule>
    <cfRule type="expression" dxfId="1097" priority="94">
      <formula>I5&lt;=1</formula>
    </cfRule>
  </conditionalFormatting>
  <conditionalFormatting sqref="G5:G15">
    <cfRule type="expression" dxfId="1096" priority="93">
      <formula>OR(H5&gt;=0.5,I5&lt;=5)</formula>
    </cfRule>
    <cfRule type="expression" dxfId="1095" priority="95">
      <formula>I5&lt;=1</formula>
    </cfRule>
  </conditionalFormatting>
  <conditionalFormatting sqref="H5:H15">
    <cfRule type="expression" dxfId="1094" priority="96">
      <formula>OR(H5&gt;=0.5,I5&lt;=5)</formula>
    </cfRule>
    <cfRule type="expression" dxfId="1093" priority="97">
      <formula>I5&lt;=1</formula>
    </cfRule>
  </conditionalFormatting>
  <conditionalFormatting sqref="J5:J15">
    <cfRule type="expression" dxfId="1092" priority="86">
      <formula>OR(L5&gt;=0.5,M5&lt;=5)</formula>
    </cfRule>
    <cfRule type="expression" dxfId="1091" priority="88">
      <formula>M5&lt;=1</formula>
    </cfRule>
  </conditionalFormatting>
  <conditionalFormatting sqref="K5:K15">
    <cfRule type="expression" dxfId="1090" priority="87">
      <formula>OR(L5&gt;=0.5,M5&lt;=5)</formula>
    </cfRule>
    <cfRule type="expression" dxfId="1089" priority="89">
      <formula>M5&lt;=1</formula>
    </cfRule>
  </conditionalFormatting>
  <conditionalFormatting sqref="L5:L15">
    <cfRule type="expression" dxfId="1088" priority="90">
      <formula>OR(L5&gt;=0.5,M5&lt;=5)</formula>
    </cfRule>
    <cfRule type="expression" dxfId="1087" priority="91">
      <formula>M5&lt;=1</formula>
    </cfRule>
  </conditionalFormatting>
  <conditionalFormatting sqref="Y22">
    <cfRule type="expression" dxfId="1086" priority="85">
      <formula>Y22&lt;=1</formula>
    </cfRule>
  </conditionalFormatting>
  <conditionalFormatting sqref="V22">
    <cfRule type="expression" dxfId="1085" priority="79">
      <formula>OR(X22&gt;=0.5,Y22&lt;=5)</formula>
    </cfRule>
    <cfRule type="expression" dxfId="1084" priority="81">
      <formula>Y22&lt;=1</formula>
    </cfRule>
  </conditionalFormatting>
  <conditionalFormatting sqref="W22">
    <cfRule type="expression" dxfId="1083" priority="80">
      <formula>OR(X22&gt;=0.5,Y22&lt;=5)</formula>
    </cfRule>
    <cfRule type="expression" dxfId="1082" priority="82">
      <formula>Y22&lt;=1</formula>
    </cfRule>
  </conditionalFormatting>
  <conditionalFormatting sqref="X22">
    <cfRule type="expression" dxfId="1081" priority="83">
      <formula>OR(X22&gt;=0.5,Y22&lt;=5)</formula>
    </cfRule>
    <cfRule type="expression" dxfId="1080" priority="84">
      <formula>Y22&lt;=1</formula>
    </cfRule>
  </conditionalFormatting>
  <conditionalFormatting sqref="Y21">
    <cfRule type="expression" dxfId="1079" priority="78">
      <formula>Y21&lt;=1</formula>
    </cfRule>
  </conditionalFormatting>
  <conditionalFormatting sqref="V21">
    <cfRule type="expression" dxfId="1078" priority="72">
      <formula>OR(X21&gt;=0.5,Y21&lt;=5)</formula>
    </cfRule>
    <cfRule type="expression" dxfId="1077" priority="74">
      <formula>Y21&lt;=1</formula>
    </cfRule>
  </conditionalFormatting>
  <conditionalFormatting sqref="W21">
    <cfRule type="expression" dxfId="1076" priority="73">
      <formula>OR(X21&gt;=0.5,Y21&lt;=5)</formula>
    </cfRule>
    <cfRule type="expression" dxfId="1075" priority="75">
      <formula>Y21&lt;=1</formula>
    </cfRule>
  </conditionalFormatting>
  <conditionalFormatting sqref="X21">
    <cfRule type="expression" dxfId="1074" priority="76">
      <formula>OR(X21&gt;=0.5,Y21&lt;=5)</formula>
    </cfRule>
    <cfRule type="expression" dxfId="1073" priority="77">
      <formula>Y21&lt;=1</formula>
    </cfRule>
  </conditionalFormatting>
  <conditionalFormatting sqref="Y20:Y21">
    <cfRule type="expression" dxfId="1072" priority="67">
      <formula>Y20&lt;=1</formula>
    </cfRule>
  </conditionalFormatting>
  <conditionalFormatting sqref="V20:V21">
    <cfRule type="expression" dxfId="1071" priority="70">
      <formula>OR(X20&gt;=0.5,Y20&lt;=5)</formula>
    </cfRule>
    <cfRule type="expression" dxfId="1070" priority="71">
      <formula>Y20&lt;=1</formula>
    </cfRule>
  </conditionalFormatting>
  <conditionalFormatting sqref="W20:W21">
    <cfRule type="expression" dxfId="1069" priority="68">
      <formula>OR(X20&gt;=0.5,Y20&lt;=5)</formula>
    </cfRule>
    <cfRule type="expression" dxfId="1068" priority="69">
      <formula>Y20&lt;=1</formula>
    </cfRule>
  </conditionalFormatting>
  <conditionalFormatting sqref="X20:X21">
    <cfRule type="expression" dxfId="1067" priority="65">
      <formula>OR(X20&gt;=0.5,Y20&lt;=5)</formula>
    </cfRule>
    <cfRule type="expression" dxfId="1066" priority="66">
      <formula>Y20&lt;=1</formula>
    </cfRule>
  </conditionalFormatting>
  <conditionalFormatting sqref="AH20:AH22">
    <cfRule type="expression" dxfId="1065" priority="59">
      <formula>OR(AJ20&gt;=0.5,AK20&lt;=5)</formula>
    </cfRule>
    <cfRule type="expression" dxfId="1064" priority="61">
      <formula>AK20&lt;=1</formula>
    </cfRule>
  </conditionalFormatting>
  <conditionalFormatting sqref="AI20:AI22">
    <cfRule type="expression" dxfId="1063" priority="60">
      <formula>OR(AJ20&gt;=0.5,AK20&lt;=5)</formula>
    </cfRule>
    <cfRule type="expression" dxfId="1062" priority="62">
      <formula>AK20&lt;=1</formula>
    </cfRule>
  </conditionalFormatting>
  <conditionalFormatting sqref="AJ20:AJ22">
    <cfRule type="expression" dxfId="1061" priority="63">
      <formula>OR(AJ20&gt;=0.5,AK20&lt;=5)</formula>
    </cfRule>
    <cfRule type="expression" dxfId="1060" priority="64">
      <formula>AK20&lt;=1</formula>
    </cfRule>
  </conditionalFormatting>
  <conditionalFormatting sqref="AK20:AK22">
    <cfRule type="expression" dxfId="1059" priority="57">
      <formula>OR(AJ20&gt;=0.5,AK20&lt;=5)</formula>
    </cfRule>
    <cfRule type="expression" dxfId="1058" priority="58">
      <formula>AK20&lt;=1</formula>
    </cfRule>
  </conditionalFormatting>
  <conditionalFormatting sqref="Z20:Z22">
    <cfRule type="expression" dxfId="1057" priority="51">
      <formula>OR(AB20&gt;=0.5,AC20&lt;=5)</formula>
    </cfRule>
    <cfRule type="expression" dxfId="1056" priority="53">
      <formula>AC20&lt;=1</formula>
    </cfRule>
  </conditionalFormatting>
  <conditionalFormatting sqref="AA20:AA22">
    <cfRule type="expression" dxfId="1055" priority="52">
      <formula>OR(AB20&gt;=0.5,AC20&lt;=5)</formula>
    </cfRule>
    <cfRule type="expression" dxfId="1054" priority="54">
      <formula>AC20&lt;=1</formula>
    </cfRule>
  </conditionalFormatting>
  <conditionalFormatting sqref="AB20:AB22">
    <cfRule type="expression" dxfId="1053" priority="55">
      <formula>OR(AB20&gt;=0.5,AC20&lt;=5)</formula>
    </cfRule>
    <cfRule type="expression" dxfId="1052" priority="56">
      <formula>AC20&lt;=1</formula>
    </cfRule>
  </conditionalFormatting>
  <conditionalFormatting sqref="AC20:AC22">
    <cfRule type="expression" dxfId="1051" priority="49">
      <formula>OR(AB20&gt;=0.5,AC20&lt;=5)</formula>
    </cfRule>
    <cfRule type="expression" dxfId="1050" priority="50">
      <formula>AC20&lt;=1</formula>
    </cfRule>
  </conditionalFormatting>
  <conditionalFormatting sqref="AD20:AD22">
    <cfRule type="expression" dxfId="1049" priority="43">
      <formula>OR(AF20&gt;=0.5,AG20&lt;=5)</formula>
    </cfRule>
    <cfRule type="expression" dxfId="1048" priority="45">
      <formula>AG20&lt;=1</formula>
    </cfRule>
  </conditionalFormatting>
  <conditionalFormatting sqref="AE20:AE22">
    <cfRule type="expression" dxfId="1047" priority="44">
      <formula>OR(AF20&gt;=0.5,AG20&lt;=5)</formula>
    </cfRule>
    <cfRule type="expression" dxfId="1046" priority="46">
      <formula>AG20&lt;=1</formula>
    </cfRule>
  </conditionalFormatting>
  <conditionalFormatting sqref="AF20:AF22">
    <cfRule type="expression" dxfId="1045" priority="47">
      <formula>OR(AF20&gt;=0.5,AG20&lt;=5)</formula>
    </cfRule>
    <cfRule type="expression" dxfId="1044" priority="48">
      <formula>AG20&lt;=1</formula>
    </cfRule>
  </conditionalFormatting>
  <conditionalFormatting sqref="AG20:AG22">
    <cfRule type="expression" dxfId="1043" priority="41">
      <formula>OR(AF20&gt;=0.5,AG20&lt;=5)</formula>
    </cfRule>
    <cfRule type="expression" dxfId="1042" priority="42">
      <formula>AG20&lt;=1</formula>
    </cfRule>
  </conditionalFormatting>
  <conditionalFormatting sqref="R20:R22">
    <cfRule type="expression" dxfId="1041" priority="35">
      <formula>OR(T20&gt;=0.5,U20&lt;=5)</formula>
    </cfRule>
    <cfRule type="expression" dxfId="1040" priority="37">
      <formula>U20&lt;=1</formula>
    </cfRule>
  </conditionalFormatting>
  <conditionalFormatting sqref="S20:S22">
    <cfRule type="expression" dxfId="1039" priority="36">
      <formula>OR(T20&gt;=0.5,U20&lt;=5)</formula>
    </cfRule>
    <cfRule type="expression" dxfId="1038" priority="38">
      <formula>U20&lt;=1</formula>
    </cfRule>
  </conditionalFormatting>
  <conditionalFormatting sqref="T20:T22">
    <cfRule type="expression" dxfId="1037" priority="39">
      <formula>OR(T20&gt;=0.5,U20&lt;=5)</formula>
    </cfRule>
    <cfRule type="expression" dxfId="1036" priority="40">
      <formula>U20&lt;=1</formula>
    </cfRule>
  </conditionalFormatting>
  <conditionalFormatting sqref="U20:U22">
    <cfRule type="expression" dxfId="1035" priority="33">
      <formula>OR(T20&gt;=0.5,U20&lt;=5)</formula>
    </cfRule>
    <cfRule type="expression" dxfId="1034" priority="34">
      <formula>U20&lt;=1</formula>
    </cfRule>
  </conditionalFormatting>
  <conditionalFormatting sqref="B20:B22">
    <cfRule type="expression" dxfId="1033" priority="27">
      <formula>OR(D20&gt;=0.5,E20&lt;=5)</formula>
    </cfRule>
    <cfRule type="expression" dxfId="1032" priority="29">
      <formula>E20&lt;=1</formula>
    </cfRule>
  </conditionalFormatting>
  <conditionalFormatting sqref="C20:C22">
    <cfRule type="expression" dxfId="1031" priority="28">
      <formula>OR(D20&gt;=0.5,E20&lt;=5)</formula>
    </cfRule>
    <cfRule type="expression" dxfId="1030" priority="30">
      <formula>E20&lt;=1</formula>
    </cfRule>
  </conditionalFormatting>
  <conditionalFormatting sqref="D20:D22">
    <cfRule type="expression" dxfId="1029" priority="31">
      <formula>OR(D20&gt;=0.5,E20&lt;=5)</formula>
    </cfRule>
    <cfRule type="expression" dxfId="1028" priority="32">
      <formula>E20&lt;=1</formula>
    </cfRule>
  </conditionalFormatting>
  <conditionalFormatting sqref="E20:E22">
    <cfRule type="expression" dxfId="1027" priority="25">
      <formula>OR(D20&gt;=0.5,E20&lt;=5)</formula>
    </cfRule>
    <cfRule type="expression" dxfId="1026" priority="26">
      <formula>E20&lt;=1</formula>
    </cfRule>
  </conditionalFormatting>
  <conditionalFormatting sqref="F20:F22">
    <cfRule type="expression" dxfId="1025" priority="19">
      <formula>OR(H20&gt;=0.5,I20&lt;=5)</formula>
    </cfRule>
    <cfRule type="expression" dxfId="1024" priority="21">
      <formula>I20&lt;=1</formula>
    </cfRule>
  </conditionalFormatting>
  <conditionalFormatting sqref="G20:G22">
    <cfRule type="expression" dxfId="1023" priority="20">
      <formula>OR(H20&gt;=0.5,I20&lt;=5)</formula>
    </cfRule>
    <cfRule type="expression" dxfId="1022" priority="22">
      <formula>I20&lt;=1</formula>
    </cfRule>
  </conditionalFormatting>
  <conditionalFormatting sqref="H20:H22">
    <cfRule type="expression" dxfId="1021" priority="23">
      <formula>OR(H20&gt;=0.5,I20&lt;=5)</formula>
    </cfRule>
    <cfRule type="expression" dxfId="1020" priority="24">
      <formula>I20&lt;=1</formula>
    </cfRule>
  </conditionalFormatting>
  <conditionalFormatting sqref="I20:I22">
    <cfRule type="expression" dxfId="1019" priority="17">
      <formula>OR(H20&gt;=0.5,I20&lt;=5)</formula>
    </cfRule>
    <cfRule type="expression" dxfId="1018" priority="18">
      <formula>I20&lt;=1</formula>
    </cfRule>
  </conditionalFormatting>
  <conditionalFormatting sqref="J20:J22">
    <cfRule type="expression" dxfId="1017" priority="11">
      <formula>OR(L20&gt;=0.5,M20&lt;=5)</formula>
    </cfRule>
    <cfRule type="expression" dxfId="1016" priority="13">
      <formula>M20&lt;=1</formula>
    </cfRule>
  </conditionalFormatting>
  <conditionalFormatting sqref="K20:K22">
    <cfRule type="expression" dxfId="1015" priority="12">
      <formula>OR(L20&gt;=0.5,M20&lt;=5)</formula>
    </cfRule>
    <cfRule type="expression" dxfId="1014" priority="14">
      <formula>M20&lt;=1</formula>
    </cfRule>
  </conditionalFormatting>
  <conditionalFormatting sqref="L20:L22">
    <cfRule type="expression" dxfId="1013" priority="15">
      <formula>OR(L20&gt;=0.5,M20&lt;=5)</formula>
    </cfRule>
    <cfRule type="expression" dxfId="1012" priority="16">
      <formula>M20&lt;=1</formula>
    </cfRule>
  </conditionalFormatting>
  <conditionalFormatting sqref="M20:M22">
    <cfRule type="expression" dxfId="1011" priority="9">
      <formula>OR(L20&gt;=0.5,M20&lt;=5)</formula>
    </cfRule>
    <cfRule type="expression" dxfId="1010" priority="10">
      <formula>M20&lt;=1</formula>
    </cfRule>
  </conditionalFormatting>
  <conditionalFormatting sqref="N20:N22">
    <cfRule type="expression" dxfId="1009" priority="3">
      <formula>OR(P20&gt;=0.5,Q20&lt;=5)</formula>
    </cfRule>
    <cfRule type="expression" dxfId="1008" priority="5">
      <formula>Q20&lt;=1</formula>
    </cfRule>
  </conditionalFormatting>
  <conditionalFormatting sqref="O20:O22">
    <cfRule type="expression" dxfId="1007" priority="4">
      <formula>OR(P20&gt;=0.5,Q20&lt;=5)</formula>
    </cfRule>
    <cfRule type="expression" dxfId="1006" priority="6">
      <formula>Q20&lt;=1</formula>
    </cfRule>
  </conditionalFormatting>
  <conditionalFormatting sqref="P20:P22">
    <cfRule type="expression" dxfId="1005" priority="7">
      <formula>OR(P20&gt;=0.5,Q20&lt;=5)</formula>
    </cfRule>
    <cfRule type="expression" dxfId="1004" priority="8">
      <formula>Q20&lt;=1</formula>
    </cfRule>
  </conditionalFormatting>
  <conditionalFormatting sqref="Q20:Q22">
    <cfRule type="expression" dxfId="1003" priority="1">
      <formula>OR(P20&gt;=0.5,Q20&lt;=5)</formula>
    </cfRule>
    <cfRule type="expression" dxfId="1002" priority="2">
      <formula>Q20&lt;=1</formula>
    </cfRule>
  </conditionalFormatting>
  <hyperlinks>
    <hyperlink ref="A25" location="Überblick!A1" display="zurück zur Übersicht" xr:uid="{E2F796EE-F0FE-4F05-B953-A5AC280A4CB1}"/>
  </hyperlink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6900C-A20A-468F-ABA0-FE7104BBA275}">
  <dimension ref="A1:T25"/>
  <sheetViews>
    <sheetView zoomScaleNormal="100" workbookViewId="0">
      <selection activeCell="A25" sqref="A25"/>
    </sheetView>
  </sheetViews>
  <sheetFormatPr baseColWidth="10" defaultRowHeight="15" x14ac:dyDescent="0.25"/>
  <cols>
    <col min="1" max="1" width="60.5703125" customWidth="1"/>
  </cols>
  <sheetData>
    <row r="1" spans="1:20" s="4" customFormat="1" ht="36.75" customHeight="1" x14ac:dyDescent="0.25">
      <c r="A1" s="1" t="s">
        <v>161</v>
      </c>
      <c r="B1" s="2"/>
      <c r="C1" s="2"/>
      <c r="D1" s="2"/>
      <c r="E1" s="2"/>
      <c r="F1" s="2"/>
      <c r="G1" s="2"/>
      <c r="H1" s="2"/>
      <c r="I1" s="2"/>
      <c r="J1" s="2"/>
      <c r="K1" s="2"/>
      <c r="L1" s="2"/>
      <c r="M1" s="2"/>
      <c r="N1" s="2"/>
      <c r="O1" s="2"/>
      <c r="P1" s="2"/>
      <c r="Q1" s="3"/>
    </row>
    <row r="2" spans="1:20" s="4" customFormat="1" ht="36.75" customHeight="1" x14ac:dyDescent="0.25">
      <c r="A2" s="4" t="s">
        <v>162</v>
      </c>
      <c r="B2" s="6" t="s">
        <v>0</v>
      </c>
      <c r="C2" s="7"/>
      <c r="D2" s="7"/>
      <c r="E2" s="7"/>
      <c r="F2" s="7"/>
      <c r="G2" s="7"/>
      <c r="H2" s="7"/>
      <c r="I2" s="7"/>
      <c r="J2" s="7"/>
      <c r="K2" s="7"/>
      <c r="L2" s="7"/>
      <c r="M2" s="8"/>
      <c r="N2" s="9"/>
      <c r="O2" s="9"/>
      <c r="P2" s="7"/>
      <c r="Q2" s="10"/>
    </row>
    <row r="3" spans="1:20" s="4" customFormat="1" ht="50.25" customHeight="1" x14ac:dyDescent="0.25">
      <c r="A3" s="46" t="s">
        <v>163</v>
      </c>
      <c r="B3" s="11" t="s">
        <v>1</v>
      </c>
      <c r="C3" s="12"/>
      <c r="D3" s="12"/>
      <c r="E3" s="13"/>
      <c r="F3" s="11" t="s">
        <v>33</v>
      </c>
      <c r="G3" s="12"/>
      <c r="H3" s="12"/>
      <c r="I3" s="13"/>
      <c r="J3" s="11" t="s">
        <v>3</v>
      </c>
      <c r="K3" s="12"/>
      <c r="L3" s="12"/>
      <c r="M3" s="14"/>
      <c r="N3" s="15" t="s">
        <v>4</v>
      </c>
      <c r="O3" s="15"/>
      <c r="P3" s="12"/>
      <c r="Q3" s="16"/>
    </row>
    <row r="4" spans="1:20" s="4" customFormat="1" ht="50.25" customHeight="1" x14ac:dyDescent="0.25">
      <c r="A4" s="5" t="s">
        <v>5</v>
      </c>
      <c r="B4" s="17" t="s">
        <v>164</v>
      </c>
      <c r="C4" s="18" t="s">
        <v>165</v>
      </c>
      <c r="D4" s="18" t="s">
        <v>8</v>
      </c>
      <c r="E4" s="19" t="s">
        <v>9</v>
      </c>
      <c r="F4" s="17" t="s">
        <v>164</v>
      </c>
      <c r="G4" s="18" t="s">
        <v>165</v>
      </c>
      <c r="H4" s="18" t="s">
        <v>8</v>
      </c>
      <c r="I4" s="19" t="s">
        <v>9</v>
      </c>
      <c r="J4" s="17" t="s">
        <v>164</v>
      </c>
      <c r="K4" s="18" t="s">
        <v>165</v>
      </c>
      <c r="L4" s="18" t="s">
        <v>8</v>
      </c>
      <c r="M4" s="20" t="s">
        <v>9</v>
      </c>
      <c r="N4" s="17" t="s">
        <v>164</v>
      </c>
      <c r="O4" s="18" t="s">
        <v>165</v>
      </c>
      <c r="P4" s="18" t="s">
        <v>8</v>
      </c>
      <c r="Q4" s="19" t="s">
        <v>9</v>
      </c>
    </row>
    <row r="5" spans="1:20" s="4" customFormat="1" ht="19.5" customHeight="1" x14ac:dyDescent="0.25">
      <c r="A5" s="21" t="s">
        <v>10</v>
      </c>
      <c r="B5" s="53">
        <v>42.282081517975698</v>
      </c>
      <c r="C5" s="54">
        <v>8.1603274171260995</v>
      </c>
      <c r="D5" s="24">
        <v>0.19299729635251847</v>
      </c>
      <c r="E5" s="25">
        <v>506</v>
      </c>
      <c r="F5" s="53">
        <v>43.014423792635199</v>
      </c>
      <c r="G5" s="54">
        <v>9.9483660584690998</v>
      </c>
      <c r="H5" s="24">
        <v>0.23127977039581846</v>
      </c>
      <c r="I5" s="25">
        <v>285</v>
      </c>
      <c r="J5" s="53">
        <v>115.02068876988901</v>
      </c>
      <c r="K5" s="54">
        <v>46.119202238463501</v>
      </c>
      <c r="L5" s="24">
        <v>0.40096440676624551</v>
      </c>
      <c r="M5" s="25">
        <v>26</v>
      </c>
      <c r="N5" s="53">
        <v>45.220120029788703</v>
      </c>
      <c r="O5" s="54">
        <v>7.0878532339559603</v>
      </c>
      <c r="P5" s="24">
        <v>0.15674114153803317</v>
      </c>
      <c r="Q5" s="25">
        <v>817</v>
      </c>
      <c r="R5" s="26"/>
      <c r="S5" s="26"/>
      <c r="T5" s="26"/>
    </row>
    <row r="6" spans="1:20" s="4" customFormat="1" ht="19.5" customHeight="1" x14ac:dyDescent="0.25">
      <c r="A6" s="27" t="s">
        <v>11</v>
      </c>
      <c r="B6" s="55">
        <v>302.27519859705302</v>
      </c>
      <c r="C6" s="56">
        <v>134.24147096868401</v>
      </c>
      <c r="D6" s="30">
        <v>0.4441034910959869</v>
      </c>
      <c r="E6" s="31">
        <v>29</v>
      </c>
      <c r="F6" s="55">
        <v>87.621487373705904</v>
      </c>
      <c r="G6" s="56">
        <v>37.184526651560297</v>
      </c>
      <c r="H6" s="30">
        <v>0.42437680260970895</v>
      </c>
      <c r="I6" s="31">
        <v>38</v>
      </c>
      <c r="J6" s="55">
        <v>96.385796114321195</v>
      </c>
      <c r="K6" s="56">
        <v>32.070297709937201</v>
      </c>
      <c r="L6" s="30">
        <v>0.33272846210555013</v>
      </c>
      <c r="M6" s="31">
        <v>12</v>
      </c>
      <c r="N6" s="55">
        <v>140.109026159471</v>
      </c>
      <c r="O6" s="56">
        <v>49.361933436731398</v>
      </c>
      <c r="P6" s="30">
        <v>0.35231087382299003</v>
      </c>
      <c r="Q6" s="31">
        <v>79</v>
      </c>
      <c r="R6" s="26"/>
      <c r="S6" s="26"/>
      <c r="T6" s="26"/>
    </row>
    <row r="7" spans="1:20" s="4" customFormat="1" ht="19.5" customHeight="1" x14ac:dyDescent="0.25">
      <c r="A7" s="27" t="s">
        <v>12</v>
      </c>
      <c r="B7" s="55">
        <v>82.970312805802493</v>
      </c>
      <c r="C7" s="56">
        <v>20.1405259420081</v>
      </c>
      <c r="D7" s="30">
        <v>0.24274376293058378</v>
      </c>
      <c r="E7" s="31">
        <v>98</v>
      </c>
      <c r="F7" s="55">
        <v>74.441938437816006</v>
      </c>
      <c r="G7" s="56">
        <v>28.515244486300698</v>
      </c>
      <c r="H7" s="30">
        <v>0.38305349222092727</v>
      </c>
      <c r="I7" s="31">
        <v>64</v>
      </c>
      <c r="J7" s="55">
        <v>25.5014190975409</v>
      </c>
      <c r="K7" s="56">
        <v>9.18128379539049</v>
      </c>
      <c r="L7" s="30">
        <v>0.3600303089123319</v>
      </c>
      <c r="M7" s="31">
        <v>12</v>
      </c>
      <c r="N7" s="55">
        <v>73.409148276263707</v>
      </c>
      <c r="O7" s="56">
        <v>15.577004861933499</v>
      </c>
      <c r="P7" s="30">
        <v>0.21219432765126095</v>
      </c>
      <c r="Q7" s="31">
        <v>174</v>
      </c>
      <c r="R7" s="26"/>
      <c r="S7" s="26"/>
      <c r="T7" s="26"/>
    </row>
    <row r="8" spans="1:20" s="4" customFormat="1" ht="19.5" customHeight="1" x14ac:dyDescent="0.25">
      <c r="A8" s="27" t="s">
        <v>13</v>
      </c>
      <c r="B8" s="55">
        <v>206.12943720938199</v>
      </c>
      <c r="C8" s="56">
        <v>16.448820301456301</v>
      </c>
      <c r="D8" s="30">
        <v>7.9798501971108243E-2</v>
      </c>
      <c r="E8" s="31">
        <v>682</v>
      </c>
      <c r="F8" s="55">
        <v>100.76561880889</v>
      </c>
      <c r="G8" s="56">
        <v>34.474376782485898</v>
      </c>
      <c r="H8" s="30">
        <v>0.34212439907573328</v>
      </c>
      <c r="I8" s="31">
        <v>257</v>
      </c>
      <c r="J8" s="55">
        <v>102.71726753190001</v>
      </c>
      <c r="K8" s="56">
        <v>33.8738968399459</v>
      </c>
      <c r="L8" s="30">
        <v>0.32977801740516488</v>
      </c>
      <c r="M8" s="31">
        <v>29</v>
      </c>
      <c r="N8" s="55">
        <v>158.25047006873501</v>
      </c>
      <c r="O8" s="56">
        <v>26.463993876707299</v>
      </c>
      <c r="P8" s="30">
        <v>0.16722853249796252</v>
      </c>
      <c r="Q8" s="31">
        <v>968</v>
      </c>
      <c r="R8" s="26"/>
      <c r="S8" s="26"/>
      <c r="T8" s="26"/>
    </row>
    <row r="9" spans="1:20" s="4" customFormat="1" ht="19.5" customHeight="1" x14ac:dyDescent="0.25">
      <c r="A9" s="27" t="s">
        <v>14</v>
      </c>
      <c r="B9" s="55">
        <v>215.07443099519099</v>
      </c>
      <c r="C9" s="56">
        <v>48.689496546419498</v>
      </c>
      <c r="D9" s="30">
        <v>0.22638440246534086</v>
      </c>
      <c r="E9" s="31">
        <v>289</v>
      </c>
      <c r="F9" s="55">
        <v>171.28874449213799</v>
      </c>
      <c r="G9" s="56">
        <v>34.876788577139699</v>
      </c>
      <c r="H9" s="30">
        <v>0.20361401258761935</v>
      </c>
      <c r="I9" s="31">
        <v>109</v>
      </c>
      <c r="J9" s="55">
        <v>183.42673333517499</v>
      </c>
      <c r="K9" s="56">
        <v>18.204050091180299</v>
      </c>
      <c r="L9" s="30">
        <v>9.9244258239697847E-2</v>
      </c>
      <c r="M9" s="31">
        <v>13</v>
      </c>
      <c r="N9" s="55">
        <v>200.480938256618</v>
      </c>
      <c r="O9" s="56">
        <v>34.4039964496002</v>
      </c>
      <c r="P9" s="30">
        <v>0.17160731962239059</v>
      </c>
      <c r="Q9" s="31">
        <v>411</v>
      </c>
      <c r="R9" s="26"/>
      <c r="S9" s="26"/>
      <c r="T9" s="26"/>
    </row>
    <row r="10" spans="1:20" s="4" customFormat="1" ht="19.5" customHeight="1" x14ac:dyDescent="0.25">
      <c r="A10" s="27" t="s">
        <v>15</v>
      </c>
      <c r="B10" s="55">
        <v>187.696168445246</v>
      </c>
      <c r="C10" s="56">
        <v>22.687542892003499</v>
      </c>
      <c r="D10" s="30">
        <v>0.1208737667898736</v>
      </c>
      <c r="E10" s="31">
        <v>184</v>
      </c>
      <c r="F10" s="55">
        <v>447.88660932952598</v>
      </c>
      <c r="G10" s="56">
        <v>292.332795979764</v>
      </c>
      <c r="H10" s="30">
        <v>0.65269376197108953</v>
      </c>
      <c r="I10" s="31">
        <v>104</v>
      </c>
      <c r="J10" s="55">
        <v>86.618505793530105</v>
      </c>
      <c r="K10" s="56">
        <v>51.215586387508999</v>
      </c>
      <c r="L10" s="30">
        <v>0.59127764809970329</v>
      </c>
      <c r="M10" s="31">
        <v>11</v>
      </c>
      <c r="N10" s="55">
        <v>256.61552214426098</v>
      </c>
      <c r="O10" s="56">
        <v>84.904345454741005</v>
      </c>
      <c r="P10" s="30">
        <v>0.3308620801473206</v>
      </c>
      <c r="Q10" s="31">
        <v>299</v>
      </c>
      <c r="R10" s="26"/>
      <c r="S10" s="26"/>
      <c r="T10" s="26"/>
    </row>
    <row r="11" spans="1:20" s="4" customFormat="1" ht="19.5" customHeight="1" x14ac:dyDescent="0.25">
      <c r="A11" s="27" t="s">
        <v>16</v>
      </c>
      <c r="B11" s="55">
        <v>36.625231171520198</v>
      </c>
      <c r="C11" s="56">
        <v>7.1112732144462001</v>
      </c>
      <c r="D11" s="30">
        <v>0.19416323083786924</v>
      </c>
      <c r="E11" s="31">
        <v>205</v>
      </c>
      <c r="F11" s="55">
        <v>62.361383805659202</v>
      </c>
      <c r="G11" s="56">
        <v>25.845570936342298</v>
      </c>
      <c r="H11" s="30">
        <v>0.41444832296997314</v>
      </c>
      <c r="I11" s="31">
        <v>100</v>
      </c>
      <c r="J11" s="55">
        <v>267.05152720837799</v>
      </c>
      <c r="K11" s="56">
        <v>99.870259617762599</v>
      </c>
      <c r="L11" s="30">
        <v>0.3739737445494356</v>
      </c>
      <c r="M11" s="31">
        <v>8</v>
      </c>
      <c r="N11" s="55">
        <v>44.424206289146099</v>
      </c>
      <c r="O11" s="56">
        <v>8.6381677727397701</v>
      </c>
      <c r="P11" s="30">
        <v>0.19444731812462976</v>
      </c>
      <c r="Q11" s="31">
        <v>313</v>
      </c>
      <c r="R11" s="26"/>
      <c r="S11" s="26"/>
      <c r="T11" s="26"/>
    </row>
    <row r="12" spans="1:20" s="4" customFormat="1" ht="19.5" customHeight="1" x14ac:dyDescent="0.25">
      <c r="A12" s="27" t="s">
        <v>17</v>
      </c>
      <c r="B12" s="55">
        <v>23.725084624467801</v>
      </c>
      <c r="C12" s="56">
        <v>5.6112143758013699</v>
      </c>
      <c r="D12" s="30">
        <v>0.23650977286776445</v>
      </c>
      <c r="E12" s="31">
        <v>402</v>
      </c>
      <c r="F12" s="55">
        <v>22.384588995985201</v>
      </c>
      <c r="G12" s="56">
        <v>3.3811619656413998</v>
      </c>
      <c r="H12" s="30">
        <v>0.15104865075913745</v>
      </c>
      <c r="I12" s="31">
        <v>428</v>
      </c>
      <c r="J12" s="55">
        <v>19.340976470043401</v>
      </c>
      <c r="K12" s="56">
        <v>5.29763985052778</v>
      </c>
      <c r="L12" s="30">
        <v>0.27390756918261699</v>
      </c>
      <c r="M12" s="31">
        <v>59</v>
      </c>
      <c r="N12" s="55">
        <v>22.981643566921299</v>
      </c>
      <c r="O12" s="56">
        <v>3.4292969431794602</v>
      </c>
      <c r="P12" s="30">
        <v>0.14921895960980919</v>
      </c>
      <c r="Q12" s="31">
        <v>889</v>
      </c>
      <c r="R12" s="26"/>
      <c r="S12" s="26"/>
      <c r="T12" s="26"/>
    </row>
    <row r="13" spans="1:20" s="4" customFormat="1" ht="19.5" customHeight="1" x14ac:dyDescent="0.25">
      <c r="A13" s="27" t="s">
        <v>18</v>
      </c>
      <c r="B13" s="55">
        <v>39.141063777386897</v>
      </c>
      <c r="C13" s="56">
        <v>11.8841650207114</v>
      </c>
      <c r="D13" s="30">
        <v>0.30362396608079106</v>
      </c>
      <c r="E13" s="31">
        <v>57</v>
      </c>
      <c r="F13" s="55">
        <v>191.58945307539699</v>
      </c>
      <c r="G13" s="56">
        <v>143.65237603655399</v>
      </c>
      <c r="H13" s="30">
        <v>0.74979271421596405</v>
      </c>
      <c r="I13" s="31">
        <v>69</v>
      </c>
      <c r="J13" s="55">
        <v>31.680031852803801</v>
      </c>
      <c r="K13" s="56">
        <v>9.8354427545942205</v>
      </c>
      <c r="L13" s="30">
        <v>0.31046189600733459</v>
      </c>
      <c r="M13" s="31">
        <v>7</v>
      </c>
      <c r="N13" s="55">
        <v>105.98747829744001</v>
      </c>
      <c r="O13" s="56">
        <v>60.249742931357801</v>
      </c>
      <c r="P13" s="30">
        <v>0.56846095311631784</v>
      </c>
      <c r="Q13" s="31">
        <v>133</v>
      </c>
      <c r="R13" s="26"/>
      <c r="S13" s="26"/>
      <c r="T13" s="26"/>
    </row>
    <row r="14" spans="1:20" s="4" customFormat="1" ht="19.5" customHeight="1" x14ac:dyDescent="0.25">
      <c r="A14" s="27" t="s">
        <v>19</v>
      </c>
      <c r="B14" s="57">
        <v>7.2331628495401397</v>
      </c>
      <c r="C14" s="58">
        <v>2.9816240953715099</v>
      </c>
      <c r="D14" s="30">
        <v>0.41221581172627292</v>
      </c>
      <c r="E14" s="31">
        <v>21</v>
      </c>
      <c r="F14" s="57">
        <v>3.7965863950363601</v>
      </c>
      <c r="G14" s="58">
        <v>1.8736834834357701</v>
      </c>
      <c r="H14" s="30">
        <v>0.49351793650354314</v>
      </c>
      <c r="I14" s="31">
        <v>20</v>
      </c>
      <c r="J14" s="57">
        <v>9</v>
      </c>
      <c r="K14" s="58">
        <v>3.06791257399881</v>
      </c>
      <c r="L14" s="30">
        <v>0.34087917488875669</v>
      </c>
      <c r="M14" s="31">
        <v>1</v>
      </c>
      <c r="N14" s="57">
        <v>4.5992054710883403</v>
      </c>
      <c r="O14" s="58">
        <v>1.7984485067413001</v>
      </c>
      <c r="P14" s="30">
        <v>0.3910346076179374</v>
      </c>
      <c r="Q14" s="31">
        <v>42</v>
      </c>
      <c r="R14" s="26"/>
      <c r="S14" s="26"/>
      <c r="T14" s="26"/>
    </row>
    <row r="15" spans="1:20" s="4" customFormat="1" ht="19.5" customHeight="1" thickBot="1" x14ac:dyDescent="0.3">
      <c r="A15" s="27" t="s">
        <v>20</v>
      </c>
      <c r="B15" s="57">
        <v>2.0360828031221399</v>
      </c>
      <c r="C15" s="59">
        <v>0.93852532922665399</v>
      </c>
      <c r="D15" s="30">
        <v>0.46094654293406656</v>
      </c>
      <c r="E15" s="31">
        <v>6</v>
      </c>
      <c r="F15" s="57">
        <v>22.792679096792</v>
      </c>
      <c r="G15" s="59">
        <v>6.5048201327630899</v>
      </c>
      <c r="H15" s="30">
        <v>0.28539076539179736</v>
      </c>
      <c r="I15" s="31">
        <v>8</v>
      </c>
      <c r="J15" s="57">
        <v>2</v>
      </c>
      <c r="K15" s="59">
        <v>0.26402548645916701</v>
      </c>
      <c r="L15" s="30">
        <v>0.13201274322958351</v>
      </c>
      <c r="M15" s="31">
        <v>1</v>
      </c>
      <c r="N15" s="57">
        <v>10.2180194705292</v>
      </c>
      <c r="O15" s="59">
        <v>4.45280162053061</v>
      </c>
      <c r="P15" s="30">
        <v>0.43577932429795962</v>
      </c>
      <c r="Q15" s="31">
        <v>15</v>
      </c>
      <c r="R15" s="26"/>
      <c r="S15" s="26"/>
      <c r="T15" s="26"/>
    </row>
    <row r="16" spans="1:20" s="4" customFormat="1" ht="24.75" customHeight="1" thickTop="1" x14ac:dyDescent="0.25">
      <c r="A16" s="35" t="s">
        <v>4</v>
      </c>
      <c r="B16" s="60">
        <v>69.352304206837303</v>
      </c>
      <c r="C16" s="61">
        <v>7.8673205273777898</v>
      </c>
      <c r="D16" s="38">
        <v>0.11343992989640518</v>
      </c>
      <c r="E16" s="39">
        <v>2479</v>
      </c>
      <c r="F16" s="60">
        <v>71.3808627113646</v>
      </c>
      <c r="G16" s="61">
        <v>15.254997281087901</v>
      </c>
      <c r="H16" s="38">
        <v>0.21371270536156103</v>
      </c>
      <c r="I16" s="39">
        <v>1482</v>
      </c>
      <c r="J16" s="60">
        <v>70.620206544039902</v>
      </c>
      <c r="K16" s="61">
        <v>18.169992039409401</v>
      </c>
      <c r="L16" s="38">
        <v>0.2572916864534841</v>
      </c>
      <c r="M16" s="39">
        <v>179</v>
      </c>
      <c r="N16" s="60">
        <v>70.170566751355096</v>
      </c>
      <c r="O16" s="61">
        <v>7.5384977588973303</v>
      </c>
      <c r="P16" s="38">
        <v>0.10743105133537703</v>
      </c>
      <c r="Q16" s="39">
        <v>4140</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17" t="s">
        <v>164</v>
      </c>
      <c r="C18" s="18" t="s">
        <v>165</v>
      </c>
      <c r="D18" s="18" t="s">
        <v>8</v>
      </c>
      <c r="E18" s="19" t="s">
        <v>9</v>
      </c>
      <c r="F18" s="17" t="s">
        <v>164</v>
      </c>
      <c r="G18" s="18" t="s">
        <v>165</v>
      </c>
      <c r="H18" s="18" t="s">
        <v>8</v>
      </c>
      <c r="I18" s="19" t="s">
        <v>9</v>
      </c>
      <c r="J18" s="17" t="s">
        <v>164</v>
      </c>
      <c r="K18" s="18" t="s">
        <v>165</v>
      </c>
      <c r="L18" s="18" t="s">
        <v>8</v>
      </c>
      <c r="M18" s="20" t="s">
        <v>9</v>
      </c>
      <c r="N18" s="17" t="s">
        <v>164</v>
      </c>
      <c r="O18" s="18" t="s">
        <v>165</v>
      </c>
      <c r="P18" s="18" t="s">
        <v>8</v>
      </c>
      <c r="Q18" s="19" t="s">
        <v>9</v>
      </c>
    </row>
    <row r="19" spans="1:20" s="4" customFormat="1" ht="19.5" customHeight="1" x14ac:dyDescent="0.25">
      <c r="A19" s="21" t="s">
        <v>10</v>
      </c>
      <c r="B19" s="53">
        <v>95.798262733517703</v>
      </c>
      <c r="C19" s="54">
        <v>11.333476335692399</v>
      </c>
      <c r="D19" s="24">
        <v>0.11830565620191634</v>
      </c>
      <c r="E19" s="25">
        <v>2050</v>
      </c>
      <c r="F19" s="53">
        <v>115.059524972405</v>
      </c>
      <c r="G19" s="54">
        <v>28.407814983750502</v>
      </c>
      <c r="H19" s="24">
        <v>0.24689668230912318</v>
      </c>
      <c r="I19" s="25">
        <v>1026</v>
      </c>
      <c r="J19" s="53">
        <v>110.43618354553701</v>
      </c>
      <c r="K19" s="54">
        <v>22.468082661644701</v>
      </c>
      <c r="L19" s="24">
        <v>0.20344856133479353</v>
      </c>
      <c r="M19" s="25">
        <v>118</v>
      </c>
      <c r="N19" s="53">
        <v>102.966327481428</v>
      </c>
      <c r="O19" s="54">
        <v>12.0293233099414</v>
      </c>
      <c r="P19" s="24">
        <v>0.11682773974929936</v>
      </c>
      <c r="Q19" s="25">
        <v>3194</v>
      </c>
      <c r="R19" s="26"/>
      <c r="S19" s="26"/>
      <c r="T19" s="26"/>
    </row>
    <row r="20" spans="1:20" s="4" customFormat="1" ht="19.5" customHeight="1" thickBot="1" x14ac:dyDescent="0.3">
      <c r="A20" s="27" t="s">
        <v>11</v>
      </c>
      <c r="B20" s="55">
        <v>22.415718295961</v>
      </c>
      <c r="C20" s="56">
        <v>5.11051673215146</v>
      </c>
      <c r="D20" s="30">
        <v>0.22798808696093864</v>
      </c>
      <c r="E20" s="31">
        <v>429</v>
      </c>
      <c r="F20" s="55">
        <v>19.084259206200599</v>
      </c>
      <c r="G20" s="56">
        <v>2.9426868513655999</v>
      </c>
      <c r="H20" s="30">
        <v>0.15419444996898291</v>
      </c>
      <c r="I20" s="31">
        <v>456</v>
      </c>
      <c r="J20" s="55">
        <v>18.465617238939</v>
      </c>
      <c r="K20" s="56">
        <v>4.8927083685419097</v>
      </c>
      <c r="L20" s="30">
        <v>0.2649631639837367</v>
      </c>
      <c r="M20" s="31">
        <v>61</v>
      </c>
      <c r="N20" s="55">
        <v>20.803046092492199</v>
      </c>
      <c r="O20" s="56">
        <v>2.9941373909692302</v>
      </c>
      <c r="P20" s="30">
        <v>0.14392783526302005</v>
      </c>
      <c r="Q20" s="31">
        <v>946</v>
      </c>
      <c r="R20" s="26"/>
      <c r="S20" s="26"/>
      <c r="T20" s="26"/>
    </row>
    <row r="21" spans="1:20" s="4" customFormat="1" ht="24.75" customHeight="1" thickTop="1" x14ac:dyDescent="0.25">
      <c r="A21" s="35" t="s">
        <v>4</v>
      </c>
      <c r="B21" s="60">
        <v>69.352304206837303</v>
      </c>
      <c r="C21" s="61">
        <v>7.8673205273777898</v>
      </c>
      <c r="D21" s="38">
        <v>0.11343992989640518</v>
      </c>
      <c r="E21" s="39">
        <v>2479</v>
      </c>
      <c r="F21" s="60">
        <v>71.3808627113646</v>
      </c>
      <c r="G21" s="61">
        <v>15.254997281087901</v>
      </c>
      <c r="H21" s="38">
        <v>0.21371270536156103</v>
      </c>
      <c r="I21" s="39">
        <v>1482</v>
      </c>
      <c r="J21" s="60">
        <v>70.620206544039902</v>
      </c>
      <c r="K21" s="61">
        <v>18.169992039409401</v>
      </c>
      <c r="L21" s="38">
        <v>0.2572916864534841</v>
      </c>
      <c r="M21" s="39">
        <v>179</v>
      </c>
      <c r="N21" s="60">
        <v>70.170566751355096</v>
      </c>
      <c r="O21" s="61">
        <v>7.5384977588973303</v>
      </c>
      <c r="P21" s="38">
        <v>0.10743105133537703</v>
      </c>
      <c r="Q21" s="39">
        <v>4140</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61</v>
      </c>
      <c r="B23" s="44" t="s">
        <v>166</v>
      </c>
      <c r="C23" s="4" t="s">
        <v>40</v>
      </c>
    </row>
    <row r="24" spans="1:20" s="4" customFormat="1" x14ac:dyDescent="0.25">
      <c r="A24" s="40"/>
      <c r="B24" s="45" t="s">
        <v>166</v>
      </c>
      <c r="C24" s="4" t="s">
        <v>29</v>
      </c>
    </row>
    <row r="25" spans="1:20" x14ac:dyDescent="0.25">
      <c r="A25" s="154" t="s">
        <v>240</v>
      </c>
    </row>
  </sheetData>
  <conditionalFormatting sqref="E5:E16">
    <cfRule type="expression" dxfId="1001" priority="76">
      <formula>E5&lt;=1</formula>
    </cfRule>
  </conditionalFormatting>
  <conditionalFormatting sqref="B5:B16">
    <cfRule type="expression" dxfId="1000" priority="70">
      <formula>OR(D5&gt;=0.5,E5&lt;=5)</formula>
    </cfRule>
    <cfRule type="expression" dxfId="999" priority="73">
      <formula>E5&lt;=1</formula>
    </cfRule>
  </conditionalFormatting>
  <conditionalFormatting sqref="D5:D16">
    <cfRule type="expression" dxfId="998" priority="72">
      <formula>OR(D5&gt;=0.5,E5&lt;=5)</formula>
    </cfRule>
    <cfRule type="expression" dxfId="997" priority="75">
      <formula>E5&lt;=1</formula>
    </cfRule>
  </conditionalFormatting>
  <conditionalFormatting sqref="C5:C16">
    <cfRule type="expression" dxfId="996" priority="71">
      <formula>OR(D5&gt;=0.5,E5&lt;=5)</formula>
    </cfRule>
    <cfRule type="expression" dxfId="995" priority="74">
      <formula>E5&lt;=1</formula>
    </cfRule>
  </conditionalFormatting>
  <conditionalFormatting sqref="I5:I16">
    <cfRule type="expression" dxfId="994" priority="69">
      <formula>I5&lt;=1</formula>
    </cfRule>
  </conditionalFormatting>
  <conditionalFormatting sqref="F5:F16">
    <cfRule type="expression" dxfId="993" priority="63">
      <formula>OR(H5&gt;=0.5,I5&lt;=5)</formula>
    </cfRule>
    <cfRule type="expression" dxfId="992" priority="66">
      <formula>I5&lt;=1</formula>
    </cfRule>
  </conditionalFormatting>
  <conditionalFormatting sqref="H5:H16">
    <cfRule type="expression" dxfId="991" priority="65">
      <formula>OR(H5&gt;=0.5,I5&lt;=5)</formula>
    </cfRule>
    <cfRule type="expression" dxfId="990" priority="68">
      <formula>I5&lt;=1</formula>
    </cfRule>
  </conditionalFormatting>
  <conditionalFormatting sqref="G5:G16">
    <cfRule type="expression" dxfId="989" priority="64">
      <formula>OR(H5&gt;=0.5,I5&lt;=5)</formula>
    </cfRule>
    <cfRule type="expression" dxfId="988" priority="67">
      <formula>I5&lt;=1</formula>
    </cfRule>
  </conditionalFormatting>
  <conditionalFormatting sqref="M5:M16">
    <cfRule type="expression" dxfId="987" priority="62">
      <formula>M5&lt;=1</formula>
    </cfRule>
  </conditionalFormatting>
  <conditionalFormatting sqref="J5:J16">
    <cfRule type="expression" dxfId="986" priority="56">
      <formula>OR(L5&gt;=0.5,M5&lt;=5)</formula>
    </cfRule>
    <cfRule type="expression" dxfId="985" priority="59">
      <formula>M5&lt;=1</formula>
    </cfRule>
  </conditionalFormatting>
  <conditionalFormatting sqref="L5:L16">
    <cfRule type="expression" dxfId="984" priority="58">
      <formula>OR(L5&gt;=0.5,M5&lt;=5)</formula>
    </cfRule>
    <cfRule type="expression" dxfId="983" priority="61">
      <formula>M5&lt;=1</formula>
    </cfRule>
  </conditionalFormatting>
  <conditionalFormatting sqref="K5:K16">
    <cfRule type="expression" dxfId="982" priority="57">
      <formula>OR(L5&gt;=0.5,M5&lt;=5)</formula>
    </cfRule>
    <cfRule type="expression" dxfId="981" priority="60">
      <formula>M5&lt;=1</formula>
    </cfRule>
  </conditionalFormatting>
  <conditionalFormatting sqref="Q5:Q16">
    <cfRule type="expression" dxfId="980" priority="55">
      <formula>Q5&lt;=1</formula>
    </cfRule>
  </conditionalFormatting>
  <conditionalFormatting sqref="N5:N16">
    <cfRule type="expression" dxfId="979" priority="49">
      <formula>OR(P5&gt;=0.5,Q5&lt;=5)</formula>
    </cfRule>
    <cfRule type="expression" dxfId="978" priority="52">
      <formula>Q5&lt;=1</formula>
    </cfRule>
  </conditionalFormatting>
  <conditionalFormatting sqref="P5:P16">
    <cfRule type="expression" dxfId="977" priority="51">
      <formula>OR(P5&gt;=0.5,Q5&lt;=5)</formula>
    </cfRule>
    <cfRule type="expression" dxfId="976" priority="54">
      <formula>Q5&lt;=1</formula>
    </cfRule>
  </conditionalFormatting>
  <conditionalFormatting sqref="O5:O16">
    <cfRule type="expression" dxfId="975" priority="50">
      <formula>OR(P5&gt;=0.5,Q5&lt;=5)</formula>
    </cfRule>
    <cfRule type="expression" dxfId="974" priority="53">
      <formula>Q5&lt;=1</formula>
    </cfRule>
  </conditionalFormatting>
  <conditionalFormatting sqref="E19:E20">
    <cfRule type="expression" dxfId="973" priority="48">
      <formula>E19&lt;=1</formula>
    </cfRule>
  </conditionalFormatting>
  <conditionalFormatting sqref="B19:B20">
    <cfRule type="expression" dxfId="972" priority="42">
      <formula>OR(D19&gt;=0.5,E19&lt;=5)</formula>
    </cfRule>
    <cfRule type="expression" dxfId="971" priority="45">
      <formula>E19&lt;=1</formula>
    </cfRule>
  </conditionalFormatting>
  <conditionalFormatting sqref="D19:D20">
    <cfRule type="expression" dxfId="970" priority="44">
      <formula>OR(D19&gt;=0.5,E19&lt;=5)</formula>
    </cfRule>
    <cfRule type="expression" dxfId="969" priority="47">
      <formula>E19&lt;=1</formula>
    </cfRule>
  </conditionalFormatting>
  <conditionalFormatting sqref="C19:C20">
    <cfRule type="expression" dxfId="968" priority="43">
      <formula>OR(D19&gt;=0.5,E19&lt;=5)</formula>
    </cfRule>
    <cfRule type="expression" dxfId="967" priority="46">
      <formula>E19&lt;=1</formula>
    </cfRule>
  </conditionalFormatting>
  <conditionalFormatting sqref="I19:I20">
    <cfRule type="expression" dxfId="966" priority="41">
      <formula>I19&lt;=1</formula>
    </cfRule>
  </conditionalFormatting>
  <conditionalFormatting sqref="F19:F20">
    <cfRule type="expression" dxfId="965" priority="35">
      <formula>OR(H19&gt;=0.5,I19&lt;=5)</formula>
    </cfRule>
    <cfRule type="expression" dxfId="964" priority="38">
      <formula>I19&lt;=1</formula>
    </cfRule>
  </conditionalFormatting>
  <conditionalFormatting sqref="H19:H20">
    <cfRule type="expression" dxfId="963" priority="37">
      <formula>OR(H19&gt;=0.5,I19&lt;=5)</formula>
    </cfRule>
    <cfRule type="expression" dxfId="962" priority="40">
      <formula>I19&lt;=1</formula>
    </cfRule>
  </conditionalFormatting>
  <conditionalFormatting sqref="G19:G20">
    <cfRule type="expression" dxfId="961" priority="36">
      <formula>OR(H19&gt;=0.5,I19&lt;=5)</formula>
    </cfRule>
    <cfRule type="expression" dxfId="960" priority="39">
      <formula>I19&lt;=1</formula>
    </cfRule>
  </conditionalFormatting>
  <conditionalFormatting sqref="M19:M20">
    <cfRule type="expression" dxfId="959" priority="34">
      <formula>M19&lt;=1</formula>
    </cfRule>
  </conditionalFormatting>
  <conditionalFormatting sqref="J19:J20">
    <cfRule type="expression" dxfId="958" priority="28">
      <formula>OR(L19&gt;=0.5,M19&lt;=5)</formula>
    </cfRule>
    <cfRule type="expression" dxfId="957" priority="31">
      <formula>M19&lt;=1</formula>
    </cfRule>
  </conditionalFormatting>
  <conditionalFormatting sqref="L19:L20">
    <cfRule type="expression" dxfId="956" priority="30">
      <formula>OR(L19&gt;=0.5,M19&lt;=5)</formula>
    </cfRule>
    <cfRule type="expression" dxfId="955" priority="33">
      <formula>M19&lt;=1</formula>
    </cfRule>
  </conditionalFormatting>
  <conditionalFormatting sqref="K19:K20">
    <cfRule type="expression" dxfId="954" priority="29">
      <formula>OR(L19&gt;=0.5,M19&lt;=5)</formula>
    </cfRule>
    <cfRule type="expression" dxfId="953" priority="32">
      <formula>M19&lt;=1</formula>
    </cfRule>
  </conditionalFormatting>
  <conditionalFormatting sqref="Q19:Q20">
    <cfRule type="expression" dxfId="952" priority="27">
      <formula>Q19&lt;=1</formula>
    </cfRule>
  </conditionalFormatting>
  <conditionalFormatting sqref="N19:N20">
    <cfRule type="expression" dxfId="951" priority="21">
      <formula>OR(P19&gt;=0.5,Q19&lt;=5)</formula>
    </cfRule>
    <cfRule type="expression" dxfId="950" priority="24">
      <formula>Q19&lt;=1</formula>
    </cfRule>
  </conditionalFormatting>
  <conditionalFormatting sqref="P19:P20">
    <cfRule type="expression" dxfId="949" priority="23">
      <formula>OR(P19&gt;=0.5,Q19&lt;=5)</formula>
    </cfRule>
    <cfRule type="expression" dxfId="948" priority="26">
      <formula>Q19&lt;=1</formula>
    </cfRule>
  </conditionalFormatting>
  <conditionalFormatting sqref="O19:O20">
    <cfRule type="expression" dxfId="947" priority="22">
      <formula>OR(P19&gt;=0.5,Q19&lt;=5)</formula>
    </cfRule>
    <cfRule type="expression" dxfId="946" priority="25">
      <formula>Q19&lt;=1</formula>
    </cfRule>
  </conditionalFormatting>
  <conditionalFormatting sqref="E21">
    <cfRule type="expression" dxfId="945" priority="20">
      <formula>E21&lt;=1</formula>
    </cfRule>
  </conditionalFormatting>
  <conditionalFormatting sqref="B21">
    <cfRule type="expression" dxfId="944" priority="14">
      <formula>OR(D21&gt;=0.5,E21&lt;=5)</formula>
    </cfRule>
    <cfRule type="expression" dxfId="943" priority="17">
      <formula>E21&lt;=1</formula>
    </cfRule>
  </conditionalFormatting>
  <conditionalFormatting sqref="D21">
    <cfRule type="expression" dxfId="942" priority="16">
      <formula>OR(D21&gt;=0.5,E21&lt;=5)</formula>
    </cfRule>
    <cfRule type="expression" dxfId="941" priority="19">
      <formula>E21&lt;=1</formula>
    </cfRule>
  </conditionalFormatting>
  <conditionalFormatting sqref="C21">
    <cfRule type="expression" dxfId="940" priority="15">
      <formula>OR(D21&gt;=0.5,E21&lt;=5)</formula>
    </cfRule>
    <cfRule type="expression" dxfId="939" priority="18">
      <formula>E21&lt;=1</formula>
    </cfRule>
  </conditionalFormatting>
  <conditionalFormatting sqref="I21">
    <cfRule type="expression" dxfId="938" priority="13">
      <formula>I21&lt;=1</formula>
    </cfRule>
  </conditionalFormatting>
  <conditionalFormatting sqref="H21">
    <cfRule type="expression" dxfId="937" priority="11">
      <formula>OR(H21&gt;=0.5,I21&lt;=5)</formula>
    </cfRule>
    <cfRule type="expression" dxfId="936" priority="12">
      <formula>I21&lt;=1</formula>
    </cfRule>
  </conditionalFormatting>
  <conditionalFormatting sqref="M21">
    <cfRule type="expression" dxfId="935" priority="10">
      <formula>M21&lt;=1</formula>
    </cfRule>
  </conditionalFormatting>
  <conditionalFormatting sqref="L21">
    <cfRule type="expression" dxfId="934" priority="8">
      <formula>OR(L21&gt;=0.5,M21&lt;=5)</formula>
    </cfRule>
    <cfRule type="expression" dxfId="933" priority="9">
      <formula>M21&lt;=1</formula>
    </cfRule>
  </conditionalFormatting>
  <conditionalFormatting sqref="Q21">
    <cfRule type="expression" dxfId="932" priority="7">
      <formula>Q21&lt;=1</formula>
    </cfRule>
  </conditionalFormatting>
  <conditionalFormatting sqref="P21">
    <cfRule type="expression" dxfId="931" priority="5">
      <formula>OR(P21&gt;=0.5,Q21&lt;=5)</formula>
    </cfRule>
    <cfRule type="expression" dxfId="930" priority="6">
      <formula>Q21&lt;=1</formula>
    </cfRule>
  </conditionalFormatting>
  <conditionalFormatting sqref="N21 J21 F21">
    <cfRule type="expression" dxfId="929" priority="1">
      <formula>OR(H21&gt;=0.5,I21&lt;=5)</formula>
    </cfRule>
    <cfRule type="expression" dxfId="928" priority="3">
      <formula>I21&lt;=1</formula>
    </cfRule>
  </conditionalFormatting>
  <conditionalFormatting sqref="O21 K21 G21">
    <cfRule type="expression" dxfId="927" priority="2">
      <formula>OR(H21&gt;=0.5,I21&lt;=5)</formula>
    </cfRule>
    <cfRule type="expression" dxfId="926" priority="4">
      <formula>I21&lt;=1</formula>
    </cfRule>
  </conditionalFormatting>
  <hyperlinks>
    <hyperlink ref="A25" location="Überblick!A1" display="zurück zur Übersicht" xr:uid="{051F0DBD-7A33-47CC-B092-6A7EB422FCE7}"/>
  </hyperlinks>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BD842-FEF3-4463-94FF-6D91D0AE4B4C}">
  <dimension ref="A1:T25"/>
  <sheetViews>
    <sheetView workbookViewId="0">
      <selection activeCell="A25" sqref="A25"/>
    </sheetView>
  </sheetViews>
  <sheetFormatPr baseColWidth="10" defaultRowHeight="15" x14ac:dyDescent="0.25"/>
  <cols>
    <col min="1" max="1" width="63" customWidth="1"/>
  </cols>
  <sheetData>
    <row r="1" spans="1:20" s="4" customFormat="1" ht="36.75" customHeight="1" x14ac:dyDescent="0.25">
      <c r="A1" s="1" t="s">
        <v>124</v>
      </c>
      <c r="B1" s="2"/>
      <c r="C1" s="2"/>
      <c r="D1" s="2"/>
      <c r="E1" s="2"/>
      <c r="F1" s="2"/>
      <c r="G1" s="2"/>
      <c r="H1" s="2"/>
      <c r="I1" s="2"/>
      <c r="J1" s="2"/>
      <c r="K1" s="2"/>
      <c r="L1" s="2"/>
      <c r="M1" s="2"/>
      <c r="N1" s="2"/>
      <c r="O1" s="2"/>
      <c r="P1" s="2"/>
      <c r="Q1" s="3"/>
    </row>
    <row r="2" spans="1:20" s="4" customFormat="1" ht="36.75" customHeight="1" x14ac:dyDescent="0.25">
      <c r="A2" s="52" t="s">
        <v>125</v>
      </c>
      <c r="B2" s="6" t="s">
        <v>0</v>
      </c>
      <c r="C2" s="7"/>
      <c r="D2" s="7"/>
      <c r="E2" s="7"/>
      <c r="F2" s="7"/>
      <c r="G2" s="7"/>
      <c r="H2" s="7"/>
      <c r="I2" s="7"/>
      <c r="J2" s="7"/>
      <c r="K2" s="7"/>
      <c r="L2" s="7"/>
      <c r="M2" s="8"/>
      <c r="N2" s="9"/>
      <c r="O2" s="9"/>
      <c r="P2" s="7"/>
      <c r="Q2" s="10"/>
    </row>
    <row r="3" spans="1:20" s="4" customFormat="1" ht="50.25" customHeight="1" x14ac:dyDescent="0.25">
      <c r="A3" s="52" t="s">
        <v>126</v>
      </c>
      <c r="B3" s="11" t="s">
        <v>1</v>
      </c>
      <c r="C3" s="12"/>
      <c r="D3" s="12"/>
      <c r="E3" s="13"/>
      <c r="F3" s="11" t="s">
        <v>33</v>
      </c>
      <c r="G3" s="12"/>
      <c r="H3" s="12"/>
      <c r="I3" s="13"/>
      <c r="J3" s="11" t="s">
        <v>3</v>
      </c>
      <c r="K3" s="12"/>
      <c r="L3" s="12"/>
      <c r="M3" s="14"/>
      <c r="N3" s="15" t="s">
        <v>4</v>
      </c>
      <c r="O3" s="15"/>
      <c r="P3" s="12"/>
      <c r="Q3" s="16"/>
    </row>
    <row r="4" spans="1:20" s="4" customFormat="1" ht="50.25" customHeight="1" x14ac:dyDescent="0.25">
      <c r="A4" s="5" t="s">
        <v>5</v>
      </c>
      <c r="B4" s="17" t="s">
        <v>127</v>
      </c>
      <c r="C4" s="18" t="s">
        <v>36</v>
      </c>
      <c r="D4" s="18" t="s">
        <v>8</v>
      </c>
      <c r="E4" s="19" t="s">
        <v>9</v>
      </c>
      <c r="F4" s="17" t="s">
        <v>127</v>
      </c>
      <c r="G4" s="18" t="s">
        <v>37</v>
      </c>
      <c r="H4" s="18" t="s">
        <v>8</v>
      </c>
      <c r="I4" s="19" t="s">
        <v>9</v>
      </c>
      <c r="J4" s="17" t="s">
        <v>127</v>
      </c>
      <c r="K4" s="18" t="s">
        <v>37</v>
      </c>
      <c r="L4" s="18" t="s">
        <v>8</v>
      </c>
      <c r="M4" s="20" t="s">
        <v>9</v>
      </c>
      <c r="N4" s="17" t="s">
        <v>127</v>
      </c>
      <c r="O4" s="18" t="s">
        <v>37</v>
      </c>
      <c r="P4" s="18" t="s">
        <v>8</v>
      </c>
      <c r="Q4" s="19" t="s">
        <v>9</v>
      </c>
    </row>
    <row r="5" spans="1:20" s="4" customFormat="1" ht="19.5" customHeight="1" x14ac:dyDescent="0.25">
      <c r="A5" s="21" t="s">
        <v>10</v>
      </c>
      <c r="B5" s="53">
        <v>8959.8101410194195</v>
      </c>
      <c r="C5" s="54">
        <v>3059.5560425733902</v>
      </c>
      <c r="D5" s="24">
        <v>0.34147554405938374</v>
      </c>
      <c r="E5" s="25">
        <v>632</v>
      </c>
      <c r="F5" s="53">
        <v>5440.6299216029702</v>
      </c>
      <c r="G5" s="54">
        <v>1449.86918534916</v>
      </c>
      <c r="H5" s="24">
        <v>0.26648921287445071</v>
      </c>
      <c r="I5" s="25">
        <v>351</v>
      </c>
      <c r="J5" s="53">
        <v>3658.95433645515</v>
      </c>
      <c r="K5" s="54">
        <v>1007.41420476484</v>
      </c>
      <c r="L5" s="24">
        <v>0.27532844417534819</v>
      </c>
      <c r="M5" s="25">
        <v>31</v>
      </c>
      <c r="N5" s="53">
        <v>7553.8670004182104</v>
      </c>
      <c r="O5" s="54">
        <v>1986.7475446139199</v>
      </c>
      <c r="P5" s="24">
        <v>0.26301065990491046</v>
      </c>
      <c r="Q5" s="25">
        <v>1014</v>
      </c>
      <c r="R5" s="26"/>
      <c r="S5" s="26"/>
      <c r="T5" s="26"/>
    </row>
    <row r="6" spans="1:20" s="4" customFormat="1" ht="19.5" customHeight="1" x14ac:dyDescent="0.25">
      <c r="A6" s="27" t="s">
        <v>11</v>
      </c>
      <c r="B6" s="55">
        <v>15554.5411496619</v>
      </c>
      <c r="C6" s="56">
        <v>6768.8593116259399</v>
      </c>
      <c r="D6" s="30">
        <v>0.43516933392619367</v>
      </c>
      <c r="E6" s="31">
        <v>63</v>
      </c>
      <c r="F6" s="55">
        <v>10721.291371264</v>
      </c>
      <c r="G6" s="56">
        <v>6940.7784034868</v>
      </c>
      <c r="H6" s="30">
        <v>0.64738268582924519</v>
      </c>
      <c r="I6" s="31">
        <v>51</v>
      </c>
      <c r="J6" s="55">
        <v>6170.2485644115604</v>
      </c>
      <c r="K6" s="56">
        <v>2134.8040192202602</v>
      </c>
      <c r="L6" s="30">
        <v>0.345983471643796</v>
      </c>
      <c r="M6" s="31">
        <v>16</v>
      </c>
      <c r="N6" s="55">
        <v>12580.399333114599</v>
      </c>
      <c r="O6" s="56">
        <v>4120.3304459731598</v>
      </c>
      <c r="P6" s="30">
        <v>0.32751984550502078</v>
      </c>
      <c r="Q6" s="31">
        <v>130</v>
      </c>
      <c r="R6" s="26"/>
      <c r="S6" s="26"/>
      <c r="T6" s="26"/>
    </row>
    <row r="7" spans="1:20" s="4" customFormat="1" ht="19.5" customHeight="1" x14ac:dyDescent="0.25">
      <c r="A7" s="27" t="s">
        <v>12</v>
      </c>
      <c r="B7" s="55">
        <v>13616.237285784</v>
      </c>
      <c r="C7" s="56">
        <v>3549.9943659698602</v>
      </c>
      <c r="D7" s="30">
        <v>0.26071772189782733</v>
      </c>
      <c r="E7" s="31">
        <v>110</v>
      </c>
      <c r="F7" s="55">
        <v>8202.9671830874704</v>
      </c>
      <c r="G7" s="56">
        <v>2427.8378219135202</v>
      </c>
      <c r="H7" s="30">
        <v>0.29597068569518759</v>
      </c>
      <c r="I7" s="31">
        <v>70</v>
      </c>
      <c r="J7" s="55">
        <v>9398.2075705226598</v>
      </c>
      <c r="K7" s="56">
        <v>5260.6505582131804</v>
      </c>
      <c r="L7" s="30">
        <v>0.55975041184588581</v>
      </c>
      <c r="M7" s="31">
        <v>13</v>
      </c>
      <c r="N7" s="55">
        <v>10390.428483115</v>
      </c>
      <c r="O7" s="56">
        <v>2080.1299139584798</v>
      </c>
      <c r="P7" s="30">
        <v>0.20019674042690364</v>
      </c>
      <c r="Q7" s="31">
        <v>193</v>
      </c>
      <c r="R7" s="26"/>
      <c r="S7" s="26"/>
      <c r="T7" s="26"/>
    </row>
    <row r="8" spans="1:20" s="4" customFormat="1" ht="19.5" customHeight="1" x14ac:dyDescent="0.25">
      <c r="A8" s="27" t="s">
        <v>13</v>
      </c>
      <c r="B8" s="55">
        <v>8294.5989725313702</v>
      </c>
      <c r="C8" s="56">
        <v>779.45497891266405</v>
      </c>
      <c r="D8" s="30">
        <v>9.3971388067576184E-2</v>
      </c>
      <c r="E8" s="31">
        <v>806</v>
      </c>
      <c r="F8" s="55">
        <v>4345.5517047640597</v>
      </c>
      <c r="G8" s="56">
        <v>1585.37120085278</v>
      </c>
      <c r="H8" s="30">
        <v>0.36482621967533518</v>
      </c>
      <c r="I8" s="31">
        <v>290</v>
      </c>
      <c r="J8" s="55">
        <v>2589.9740925392798</v>
      </c>
      <c r="K8" s="56">
        <v>1414.32479789526</v>
      </c>
      <c r="L8" s="30">
        <v>0.54607681287986098</v>
      </c>
      <c r="M8" s="31">
        <v>33</v>
      </c>
      <c r="N8" s="55">
        <v>6474.8376931502298</v>
      </c>
      <c r="O8" s="56">
        <v>1086.7475264904001</v>
      </c>
      <c r="P8" s="30">
        <v>0.16784166306440035</v>
      </c>
      <c r="Q8" s="31">
        <v>1129</v>
      </c>
      <c r="R8" s="26"/>
      <c r="S8" s="26"/>
      <c r="T8" s="26"/>
    </row>
    <row r="9" spans="1:20" s="4" customFormat="1" ht="19.5" customHeight="1" x14ac:dyDescent="0.25">
      <c r="A9" s="27" t="s">
        <v>14</v>
      </c>
      <c r="B9" s="55">
        <v>3709.33130236736</v>
      </c>
      <c r="C9" s="56">
        <v>561.12978258893895</v>
      </c>
      <c r="D9" s="30">
        <v>0.15127518596972347</v>
      </c>
      <c r="E9" s="31">
        <v>349</v>
      </c>
      <c r="F9" s="55">
        <v>4613.8357880251197</v>
      </c>
      <c r="G9" s="56">
        <v>1638.86063450392</v>
      </c>
      <c r="H9" s="30">
        <v>0.35520567046566015</v>
      </c>
      <c r="I9" s="31">
        <v>132</v>
      </c>
      <c r="J9" s="55">
        <v>1556.35149444647</v>
      </c>
      <c r="K9" s="56">
        <v>680.89793762901604</v>
      </c>
      <c r="L9" s="30">
        <v>0.43749624686882399</v>
      </c>
      <c r="M9" s="31">
        <v>20</v>
      </c>
      <c r="N9" s="55">
        <v>3852.2648716621602</v>
      </c>
      <c r="O9" s="56">
        <v>615.17507448638298</v>
      </c>
      <c r="P9" s="30">
        <v>0.15969179040924816</v>
      </c>
      <c r="Q9" s="31">
        <v>501</v>
      </c>
      <c r="R9" s="26"/>
      <c r="S9" s="26"/>
      <c r="T9" s="26"/>
    </row>
    <row r="10" spans="1:20" s="4" customFormat="1" ht="19.5" customHeight="1" x14ac:dyDescent="0.25">
      <c r="A10" s="27" t="s">
        <v>15</v>
      </c>
      <c r="B10" s="55">
        <v>11099.0105000942</v>
      </c>
      <c r="C10" s="56">
        <v>3377.3856148220598</v>
      </c>
      <c r="D10" s="30">
        <v>0.30429610052115863</v>
      </c>
      <c r="E10" s="31">
        <v>231</v>
      </c>
      <c r="F10" s="55">
        <v>10155.1423162418</v>
      </c>
      <c r="G10" s="56">
        <v>2014.26295094232</v>
      </c>
      <c r="H10" s="30">
        <v>0.19834906180692063</v>
      </c>
      <c r="I10" s="31">
        <v>134</v>
      </c>
      <c r="J10" s="55">
        <v>3298.39557942796</v>
      </c>
      <c r="K10" s="56">
        <v>1624.8726045881499</v>
      </c>
      <c r="L10" s="30">
        <v>0.49262514621425463</v>
      </c>
      <c r="M10" s="31">
        <v>11</v>
      </c>
      <c r="N10" s="55">
        <v>10400.226952643899</v>
      </c>
      <c r="O10" s="56">
        <v>2366.40357870564</v>
      </c>
      <c r="P10" s="30">
        <v>0.22753384031721186</v>
      </c>
      <c r="Q10" s="31">
        <v>376</v>
      </c>
      <c r="R10" s="26"/>
      <c r="S10" s="26"/>
      <c r="T10" s="26"/>
    </row>
    <row r="11" spans="1:20" s="4" customFormat="1" ht="19.5" customHeight="1" x14ac:dyDescent="0.25">
      <c r="A11" s="27" t="s">
        <v>16</v>
      </c>
      <c r="B11" s="55">
        <v>2670.5467152670299</v>
      </c>
      <c r="C11" s="56">
        <v>426.97191648765101</v>
      </c>
      <c r="D11" s="30">
        <v>0.15988183769515441</v>
      </c>
      <c r="E11" s="31">
        <v>227</v>
      </c>
      <c r="F11" s="55">
        <v>3077.53866893435</v>
      </c>
      <c r="G11" s="56">
        <v>1530.4121658479601</v>
      </c>
      <c r="H11" s="30">
        <v>0.49728446348909444</v>
      </c>
      <c r="I11" s="31">
        <v>115</v>
      </c>
      <c r="J11" s="55">
        <v>9882.8127960922502</v>
      </c>
      <c r="K11" s="56">
        <v>4704.9222504348199</v>
      </c>
      <c r="L11" s="30">
        <v>0.47607116997047511</v>
      </c>
      <c r="M11" s="31">
        <v>11</v>
      </c>
      <c r="N11" s="55">
        <v>2811.40389613754</v>
      </c>
      <c r="O11" s="56">
        <v>486.00623626675201</v>
      </c>
      <c r="P11" s="30">
        <v>0.17286958908126074</v>
      </c>
      <c r="Q11" s="31">
        <v>353</v>
      </c>
      <c r="R11" s="26"/>
      <c r="S11" s="26"/>
      <c r="T11" s="26"/>
    </row>
    <row r="12" spans="1:20" s="4" customFormat="1" ht="19.5" customHeight="1" x14ac:dyDescent="0.25">
      <c r="A12" s="27" t="s">
        <v>17</v>
      </c>
      <c r="B12" s="55">
        <v>6639.7835599190303</v>
      </c>
      <c r="C12" s="56">
        <v>1728.2547296641501</v>
      </c>
      <c r="D12" s="30">
        <v>0.26028781120166899</v>
      </c>
      <c r="E12" s="31">
        <v>501</v>
      </c>
      <c r="F12" s="55">
        <v>13390.6291374967</v>
      </c>
      <c r="G12" s="56">
        <v>3077.8655034223002</v>
      </c>
      <c r="H12" s="30">
        <v>0.22985219527913003</v>
      </c>
      <c r="I12" s="31">
        <v>521</v>
      </c>
      <c r="J12" s="55">
        <v>4955.87590165663</v>
      </c>
      <c r="K12" s="56">
        <v>1547.51756995595</v>
      </c>
      <c r="L12" s="30">
        <v>0.3122591446324659</v>
      </c>
      <c r="M12" s="31">
        <v>64</v>
      </c>
      <c r="N12" s="55">
        <v>9310.1883439191206</v>
      </c>
      <c r="O12" s="56">
        <v>1625.6740127344001</v>
      </c>
      <c r="P12" s="30">
        <v>0.17461236579560679</v>
      </c>
      <c r="Q12" s="31">
        <v>1086</v>
      </c>
      <c r="R12" s="26"/>
      <c r="S12" s="26"/>
      <c r="T12" s="26"/>
    </row>
    <row r="13" spans="1:20" s="4" customFormat="1" ht="19.5" customHeight="1" x14ac:dyDescent="0.25">
      <c r="A13" s="27" t="s">
        <v>18</v>
      </c>
      <c r="B13" s="55">
        <v>23954.722256063</v>
      </c>
      <c r="C13" s="56">
        <v>16695.992300153201</v>
      </c>
      <c r="D13" s="30">
        <v>0.6969812516163657</v>
      </c>
      <c r="E13" s="31">
        <v>104</v>
      </c>
      <c r="F13" s="55">
        <v>12694.9714027263</v>
      </c>
      <c r="G13" s="56">
        <v>3143.9372415855901</v>
      </c>
      <c r="H13" s="30">
        <v>0.2476521720175294</v>
      </c>
      <c r="I13" s="31">
        <v>126</v>
      </c>
      <c r="J13" s="55">
        <v>9564.9672766551903</v>
      </c>
      <c r="K13" s="56">
        <v>2194.6503233026801</v>
      </c>
      <c r="L13" s="30">
        <v>0.22944671527095237</v>
      </c>
      <c r="M13" s="31">
        <v>14</v>
      </c>
      <c r="N13" s="55">
        <v>18262.9611189608</v>
      </c>
      <c r="O13" s="56">
        <v>8542.6801379829594</v>
      </c>
      <c r="P13" s="30">
        <v>0.46775986009814469</v>
      </c>
      <c r="Q13" s="31">
        <v>244</v>
      </c>
      <c r="R13" s="26"/>
      <c r="S13" s="26"/>
      <c r="T13" s="26"/>
    </row>
    <row r="14" spans="1:20" s="4" customFormat="1" ht="19.5" customHeight="1" x14ac:dyDescent="0.25">
      <c r="A14" s="27" t="s">
        <v>19</v>
      </c>
      <c r="B14" s="57">
        <v>3556.6286559303699</v>
      </c>
      <c r="C14" s="58">
        <v>879.98130114758203</v>
      </c>
      <c r="D14" s="30">
        <v>0.24742006722582341</v>
      </c>
      <c r="E14" s="31">
        <v>26</v>
      </c>
      <c r="F14" s="57">
        <v>1682.9211801374699</v>
      </c>
      <c r="G14" s="58">
        <v>355.60407993558601</v>
      </c>
      <c r="H14" s="30">
        <v>0.21130168431687241</v>
      </c>
      <c r="I14" s="31">
        <v>25</v>
      </c>
      <c r="J14" s="57">
        <v>2261.8576753821199</v>
      </c>
      <c r="K14" s="58">
        <v>771.02017810195105</v>
      </c>
      <c r="L14" s="30">
        <v>0.34087917488959352</v>
      </c>
      <c r="M14" s="31">
        <v>1</v>
      </c>
      <c r="N14" s="57">
        <v>2134.4074429591401</v>
      </c>
      <c r="O14" s="58">
        <v>455.32994654184699</v>
      </c>
      <c r="P14" s="30">
        <v>0.21332850391047084</v>
      </c>
      <c r="Q14" s="31">
        <v>52</v>
      </c>
      <c r="R14" s="26"/>
      <c r="S14" s="26"/>
      <c r="T14" s="26"/>
    </row>
    <row r="15" spans="1:20" s="4" customFormat="1" ht="19.5" customHeight="1" thickBot="1" x14ac:dyDescent="0.3">
      <c r="A15" s="27" t="s">
        <v>20</v>
      </c>
      <c r="B15" s="57">
        <v>6415.0903379811398</v>
      </c>
      <c r="C15" s="59">
        <v>3648.3769817186499</v>
      </c>
      <c r="D15" s="30">
        <v>0.56871794308461943</v>
      </c>
      <c r="E15" s="31">
        <v>15</v>
      </c>
      <c r="F15" s="57">
        <v>4500.0402490918596</v>
      </c>
      <c r="G15" s="59">
        <v>309.620659301854</v>
      </c>
      <c r="H15" s="30">
        <v>6.8803975556515892E-2</v>
      </c>
      <c r="I15" s="31">
        <v>9</v>
      </c>
      <c r="J15" s="57">
        <v>785.29167794168802</v>
      </c>
      <c r="K15" s="59">
        <v>103.668508644261</v>
      </c>
      <c r="L15" s="30">
        <v>0.13201274323444304</v>
      </c>
      <c r="M15" s="31">
        <v>1</v>
      </c>
      <c r="N15" s="57">
        <v>5405.6862850881398</v>
      </c>
      <c r="O15" s="59">
        <v>2254.8057387417198</v>
      </c>
      <c r="P15" s="30">
        <v>0.41711738710433788</v>
      </c>
      <c r="Q15" s="31">
        <v>25</v>
      </c>
      <c r="R15" s="26"/>
      <c r="S15" s="26"/>
      <c r="T15" s="26"/>
    </row>
    <row r="16" spans="1:20" s="4" customFormat="1" ht="24.75" customHeight="1" thickTop="1" x14ac:dyDescent="0.25">
      <c r="A16" s="35" t="s">
        <v>4</v>
      </c>
      <c r="B16" s="60">
        <v>8019.7222941116297</v>
      </c>
      <c r="C16" s="61">
        <v>1612.7665730655699</v>
      </c>
      <c r="D16" s="38">
        <v>0.20110005233594205</v>
      </c>
      <c r="E16" s="39">
        <v>3064</v>
      </c>
      <c r="F16" s="60">
        <v>8863.7167772961602</v>
      </c>
      <c r="G16" s="61">
        <v>1225.7438959347901</v>
      </c>
      <c r="H16" s="38">
        <v>0.13828780033613597</v>
      </c>
      <c r="I16" s="39">
        <v>1824</v>
      </c>
      <c r="J16" s="60">
        <v>4608.6476272978598</v>
      </c>
      <c r="K16" s="61">
        <v>829.78104556624896</v>
      </c>
      <c r="L16" s="38">
        <v>0.18004870683783777</v>
      </c>
      <c r="M16" s="39">
        <v>215</v>
      </c>
      <c r="N16" s="62">
        <v>8209.6842226162207</v>
      </c>
      <c r="O16" s="61">
        <v>1064.01772840494</v>
      </c>
      <c r="P16" s="38">
        <v>0.1296051954682691</v>
      </c>
      <c r="Q16" s="39">
        <v>5103</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90" t="s">
        <v>69</v>
      </c>
      <c r="B18" s="17" t="s">
        <v>127</v>
      </c>
      <c r="C18" s="18" t="s">
        <v>36</v>
      </c>
      <c r="D18" s="18" t="s">
        <v>8</v>
      </c>
      <c r="E18" s="19" t="s">
        <v>9</v>
      </c>
      <c r="F18" s="17" t="s">
        <v>127</v>
      </c>
      <c r="G18" s="18" t="s">
        <v>37</v>
      </c>
      <c r="H18" s="18" t="s">
        <v>8</v>
      </c>
      <c r="I18" s="19" t="s">
        <v>9</v>
      </c>
      <c r="J18" s="17" t="s">
        <v>127</v>
      </c>
      <c r="K18" s="18" t="s">
        <v>37</v>
      </c>
      <c r="L18" s="18" t="s">
        <v>8</v>
      </c>
      <c r="M18" s="20" t="s">
        <v>9</v>
      </c>
      <c r="N18" s="17" t="s">
        <v>127</v>
      </c>
      <c r="O18" s="18" t="s">
        <v>37</v>
      </c>
      <c r="P18" s="18" t="s">
        <v>8</v>
      </c>
      <c r="Q18" s="19" t="s">
        <v>9</v>
      </c>
    </row>
    <row r="19" spans="1:20" s="4" customFormat="1" ht="19.5" customHeight="1" x14ac:dyDescent="0.25">
      <c r="A19" s="50" t="s">
        <v>22</v>
      </c>
      <c r="B19" s="53">
        <v>8819.0956849244703</v>
      </c>
      <c r="C19" s="54">
        <v>2311.50174575252</v>
      </c>
      <c r="D19" s="24">
        <v>0.26210190118515725</v>
      </c>
      <c r="E19" s="25">
        <v>2522</v>
      </c>
      <c r="F19" s="53">
        <v>6947.7971576401696</v>
      </c>
      <c r="G19" s="54">
        <v>1021.72532979815</v>
      </c>
      <c r="H19" s="24">
        <v>0.14705744952191158</v>
      </c>
      <c r="I19" s="25">
        <v>1269</v>
      </c>
      <c r="J19" s="53">
        <v>4510.66227352223</v>
      </c>
      <c r="K19" s="54">
        <v>987.23431707253997</v>
      </c>
      <c r="L19" s="24">
        <v>0.21886682203357263</v>
      </c>
      <c r="M19" s="25">
        <v>149</v>
      </c>
      <c r="N19" s="53">
        <v>8007.0667404277901</v>
      </c>
      <c r="O19" s="54">
        <v>1477.0039309644501</v>
      </c>
      <c r="P19" s="24">
        <v>0.18446254775260421</v>
      </c>
      <c r="Q19" s="25">
        <v>3940</v>
      </c>
      <c r="R19" s="26"/>
      <c r="S19" s="26"/>
      <c r="T19" s="26"/>
    </row>
    <row r="20" spans="1:20" s="4" customFormat="1" ht="19.5" customHeight="1" thickBot="1" x14ac:dyDescent="0.3">
      <c r="A20" s="51" t="s">
        <v>23</v>
      </c>
      <c r="B20" s="55">
        <v>6501.5829722428298</v>
      </c>
      <c r="C20" s="56">
        <v>1590.1651754724301</v>
      </c>
      <c r="D20" s="30">
        <v>0.24458123233392745</v>
      </c>
      <c r="E20" s="31">
        <v>542</v>
      </c>
      <c r="F20" s="55">
        <v>11326.826088316</v>
      </c>
      <c r="G20" s="56">
        <v>2517.9015076375799</v>
      </c>
      <c r="H20" s="30">
        <v>0.22229541515031112</v>
      </c>
      <c r="I20" s="31">
        <v>555</v>
      </c>
      <c r="J20" s="55">
        <v>4748.6075887058196</v>
      </c>
      <c r="K20" s="56">
        <v>1440.9682472945799</v>
      </c>
      <c r="L20" s="30">
        <v>0.30345068957094007</v>
      </c>
      <c r="M20" s="31">
        <v>66</v>
      </c>
      <c r="N20" s="55">
        <v>8536.1858754946898</v>
      </c>
      <c r="O20" s="56">
        <v>1419.1707812181</v>
      </c>
      <c r="P20" s="30">
        <v>0.166253500324096</v>
      </c>
      <c r="Q20" s="31">
        <v>1163</v>
      </c>
      <c r="R20" s="26"/>
      <c r="S20" s="26"/>
      <c r="T20" s="26"/>
    </row>
    <row r="21" spans="1:20" s="4" customFormat="1" ht="24.75" customHeight="1" thickTop="1" x14ac:dyDescent="0.25">
      <c r="A21" s="35" t="s">
        <v>4</v>
      </c>
      <c r="B21" s="60">
        <v>8019.7222941116297</v>
      </c>
      <c r="C21" s="61">
        <v>1612.7665730655699</v>
      </c>
      <c r="D21" s="38">
        <v>0.20110005233594205</v>
      </c>
      <c r="E21" s="39">
        <v>3064</v>
      </c>
      <c r="F21" s="60">
        <v>8863.7167772961602</v>
      </c>
      <c r="G21" s="61">
        <v>1225.7438959347901</v>
      </c>
      <c r="H21" s="38">
        <v>0.13828780033613597</v>
      </c>
      <c r="I21" s="39">
        <v>1824</v>
      </c>
      <c r="J21" s="60">
        <v>4608.6476272978598</v>
      </c>
      <c r="K21" s="61">
        <v>829.78104556624896</v>
      </c>
      <c r="L21" s="38">
        <v>0.18004870683783777</v>
      </c>
      <c r="M21" s="39">
        <v>215</v>
      </c>
      <c r="N21" s="60">
        <v>8209.6842226162207</v>
      </c>
      <c r="O21" s="61">
        <v>1064.01772840494</v>
      </c>
      <c r="P21" s="38">
        <v>0.1296051954682691</v>
      </c>
      <c r="Q21" s="39">
        <v>5103</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80</v>
      </c>
      <c r="B23" s="44" t="s">
        <v>26</v>
      </c>
      <c r="C23" s="4" t="s">
        <v>40</v>
      </c>
    </row>
    <row r="24" spans="1:20" s="4" customFormat="1" x14ac:dyDescent="0.25">
      <c r="A24" s="40"/>
      <c r="B24" s="45" t="s">
        <v>26</v>
      </c>
      <c r="C24" s="4" t="s">
        <v>29</v>
      </c>
    </row>
    <row r="25" spans="1:20" x14ac:dyDescent="0.25">
      <c r="A25" s="154" t="s">
        <v>240</v>
      </c>
    </row>
  </sheetData>
  <conditionalFormatting sqref="M5:M15">
    <cfRule type="expression" dxfId="925" priority="56">
      <formula>M5&lt;=1</formula>
    </cfRule>
  </conditionalFormatting>
  <conditionalFormatting sqref="L5:L15">
    <cfRule type="expression" dxfId="924" priority="52">
      <formula>OR(L5&gt;=0.5,M5&lt;=5)</formula>
    </cfRule>
    <cfRule type="expression" dxfId="923" priority="55">
      <formula>M5&lt;=1</formula>
    </cfRule>
  </conditionalFormatting>
  <conditionalFormatting sqref="K5:K15">
    <cfRule type="expression" dxfId="922" priority="51">
      <formula>OR(L5&gt;=0.5,M5&lt;=5)</formula>
    </cfRule>
    <cfRule type="expression" dxfId="921" priority="54">
      <formula>M5&lt;=1</formula>
    </cfRule>
  </conditionalFormatting>
  <conditionalFormatting sqref="J5:J15">
    <cfRule type="expression" dxfId="920" priority="50">
      <formula>OR(L5&gt;=0.5,M5&lt;=5)</formula>
    </cfRule>
    <cfRule type="expression" dxfId="919" priority="53">
      <formula>M5&lt;=1</formula>
    </cfRule>
  </conditionalFormatting>
  <conditionalFormatting sqref="I5:I15">
    <cfRule type="expression" dxfId="918" priority="49">
      <formula>I5&lt;=1</formula>
    </cfRule>
  </conditionalFormatting>
  <conditionalFormatting sqref="H5:H15">
    <cfRule type="expression" dxfId="917" priority="45">
      <formula>OR(H5&gt;=0.5,I5&lt;=5)</formula>
    </cfRule>
    <cfRule type="expression" dxfId="916" priority="48">
      <formula>I5&lt;=1</formula>
    </cfRule>
  </conditionalFormatting>
  <conditionalFormatting sqref="G5:G15">
    <cfRule type="expression" dxfId="915" priority="44">
      <formula>OR(H5&gt;=0.5,I5&lt;=5)</formula>
    </cfRule>
    <cfRule type="expression" dxfId="914" priority="47">
      <formula>I5&lt;=1</formula>
    </cfRule>
  </conditionalFormatting>
  <conditionalFormatting sqref="F5:F15">
    <cfRule type="expression" dxfId="913" priority="43">
      <formula>OR(H5&gt;=0.5,I5&lt;=5)</formula>
    </cfRule>
    <cfRule type="expression" dxfId="912" priority="46">
      <formula>I5&lt;=1</formula>
    </cfRule>
  </conditionalFormatting>
  <conditionalFormatting sqref="E5:E15">
    <cfRule type="expression" dxfId="911" priority="42">
      <formula>E5&lt;=1</formula>
    </cfRule>
  </conditionalFormatting>
  <conditionalFormatting sqref="D5:D15">
    <cfRule type="expression" dxfId="910" priority="38">
      <formula>OR(D5&gt;=0.5,E5&lt;=5)</formula>
    </cfRule>
    <cfRule type="expression" dxfId="909" priority="41">
      <formula>E5&lt;=1</formula>
    </cfRule>
  </conditionalFormatting>
  <conditionalFormatting sqref="C5:C15">
    <cfRule type="expression" dxfId="908" priority="37">
      <formula>OR(D5&gt;=0.5,E5&lt;=5)</formula>
    </cfRule>
    <cfRule type="expression" dxfId="907" priority="40">
      <formula>E5&lt;=1</formula>
    </cfRule>
  </conditionalFormatting>
  <conditionalFormatting sqref="B5:B15">
    <cfRule type="expression" dxfId="906" priority="36">
      <formula>OR(D5&gt;=0.5,E5&lt;=5)</formula>
    </cfRule>
    <cfRule type="expression" dxfId="905" priority="39">
      <formula>E5&lt;=1</formula>
    </cfRule>
  </conditionalFormatting>
  <conditionalFormatting sqref="Q5:Q15">
    <cfRule type="expression" dxfId="904" priority="35">
      <formula>Q5&lt;=1</formula>
    </cfRule>
  </conditionalFormatting>
  <conditionalFormatting sqref="P5:P15">
    <cfRule type="expression" dxfId="903" priority="31">
      <formula>OR(P5&gt;=0.5,Q5&lt;=5)</formula>
    </cfRule>
    <cfRule type="expression" dxfId="902" priority="34">
      <formula>Q5&lt;=1</formula>
    </cfRule>
  </conditionalFormatting>
  <conditionalFormatting sqref="O5:O15">
    <cfRule type="expression" dxfId="901" priority="30">
      <formula>OR(P5&gt;=0.5,Q5&lt;=5)</formula>
    </cfRule>
    <cfRule type="expression" dxfId="900" priority="33">
      <formula>Q5&lt;=1</formula>
    </cfRule>
  </conditionalFormatting>
  <conditionalFormatting sqref="N5:N15">
    <cfRule type="expression" dxfId="899" priority="29">
      <formula>OR(P5&gt;=0.5,Q5&lt;=5)</formula>
    </cfRule>
    <cfRule type="expression" dxfId="898" priority="32">
      <formula>Q5&lt;=1</formula>
    </cfRule>
  </conditionalFormatting>
  <conditionalFormatting sqref="L19:L20">
    <cfRule type="expression" dxfId="897" priority="25">
      <formula>OR(L19&gt;=0.5,M19&lt;=5)</formula>
    </cfRule>
    <cfRule type="expression" dxfId="896" priority="28">
      <formula>M19&lt;=1</formula>
    </cfRule>
  </conditionalFormatting>
  <conditionalFormatting sqref="K19:K20">
    <cfRule type="expression" dxfId="895" priority="24">
      <formula>OR(L19&gt;=0.5,M19&lt;=5)</formula>
    </cfRule>
    <cfRule type="expression" dxfId="894" priority="27">
      <formula>M19&lt;=1</formula>
    </cfRule>
  </conditionalFormatting>
  <conditionalFormatting sqref="J19:J20">
    <cfRule type="expression" dxfId="893" priority="23">
      <formula>OR(L19&gt;=0.5,M19&lt;=5)</formula>
    </cfRule>
    <cfRule type="expression" dxfId="892" priority="26">
      <formula>M19&lt;=1</formula>
    </cfRule>
  </conditionalFormatting>
  <conditionalFormatting sqref="H19:H20">
    <cfRule type="expression" dxfId="891" priority="19">
      <formula>OR(H19&gt;=0.5,I19&lt;=5)</formula>
    </cfRule>
    <cfRule type="expression" dxfId="890" priority="22">
      <formula>I19&lt;=1</formula>
    </cfRule>
  </conditionalFormatting>
  <conditionalFormatting sqref="G19:G20">
    <cfRule type="expression" dxfId="889" priority="18">
      <formula>OR(H19&gt;=0.5,I19&lt;=5)</formula>
    </cfRule>
    <cfRule type="expression" dxfId="888" priority="21">
      <formula>I19&lt;=1</formula>
    </cfRule>
  </conditionalFormatting>
  <conditionalFormatting sqref="F19:F20">
    <cfRule type="expression" dxfId="887" priority="17">
      <formula>OR(H19&gt;=0.5,I19&lt;=5)</formula>
    </cfRule>
    <cfRule type="expression" dxfId="886" priority="20">
      <formula>I19&lt;=1</formula>
    </cfRule>
  </conditionalFormatting>
  <conditionalFormatting sqref="E19:E20">
    <cfRule type="expression" dxfId="885" priority="16">
      <formula>E19&lt;=1</formula>
    </cfRule>
  </conditionalFormatting>
  <conditionalFormatting sqref="D19:D20">
    <cfRule type="expression" dxfId="884" priority="12">
      <formula>OR(D19&gt;=0.5,E19&lt;=5)</formula>
    </cfRule>
    <cfRule type="expression" dxfId="883" priority="15">
      <formula>E19&lt;=1</formula>
    </cfRule>
  </conditionalFormatting>
  <conditionalFormatting sqref="C19:C20">
    <cfRule type="expression" dxfId="882" priority="11">
      <formula>OR(D19&gt;=0.5,E19&lt;=5)</formula>
    </cfRule>
    <cfRule type="expression" dxfId="881" priority="14">
      <formula>E19&lt;=1</formula>
    </cfRule>
  </conditionalFormatting>
  <conditionalFormatting sqref="B19:B20">
    <cfRule type="expression" dxfId="880" priority="10">
      <formula>OR(D19&gt;=0.5,E19&lt;=5)</formula>
    </cfRule>
    <cfRule type="expression" dxfId="879" priority="13">
      <formula>E19&lt;=1</formula>
    </cfRule>
  </conditionalFormatting>
  <conditionalFormatting sqref="P19:P20">
    <cfRule type="expression" dxfId="878" priority="6">
      <formula>OR(P19&gt;=0.5,Q19&lt;=5)</formula>
    </cfRule>
    <cfRule type="expression" dxfId="877" priority="9">
      <formula>Q19&lt;=1</formula>
    </cfRule>
  </conditionalFormatting>
  <conditionalFormatting sqref="O19:O20">
    <cfRule type="expression" dxfId="876" priority="5">
      <formula>OR(P19&gt;=0.5,Q19&lt;=5)</formula>
    </cfRule>
    <cfRule type="expression" dxfId="875" priority="8">
      <formula>Q19&lt;=1</formula>
    </cfRule>
  </conditionalFormatting>
  <conditionalFormatting sqref="N19:N20">
    <cfRule type="expression" dxfId="874" priority="4">
      <formula>OR(P19&gt;=0.5,Q19&lt;=5)</formula>
    </cfRule>
    <cfRule type="expression" dxfId="873" priority="7">
      <formula>Q19&lt;=1</formula>
    </cfRule>
  </conditionalFormatting>
  <conditionalFormatting sqref="I19:I20">
    <cfRule type="expression" dxfId="872" priority="3">
      <formula>I19&lt;=1</formula>
    </cfRule>
  </conditionalFormatting>
  <conditionalFormatting sqref="M19:M20">
    <cfRule type="expression" dxfId="871" priority="2">
      <formula>M19&lt;=1</formula>
    </cfRule>
  </conditionalFormatting>
  <conditionalFormatting sqref="Q19:Q20">
    <cfRule type="expression" dxfId="870" priority="1">
      <formula>Q19&lt;=1</formula>
    </cfRule>
  </conditionalFormatting>
  <hyperlinks>
    <hyperlink ref="A25" location="Überblick!A1" display="zurück zur Übersicht" xr:uid="{4B550641-EB1B-4E68-BF60-B41429DACE51}"/>
  </hyperlink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4086E-689B-4A37-BAE0-47781D1D567D}">
  <dimension ref="A1:T25"/>
  <sheetViews>
    <sheetView workbookViewId="0">
      <selection activeCell="A25" sqref="A25"/>
    </sheetView>
  </sheetViews>
  <sheetFormatPr baseColWidth="10" defaultRowHeight="15" x14ac:dyDescent="0.25"/>
  <cols>
    <col min="1" max="1" width="76.42578125" customWidth="1"/>
  </cols>
  <sheetData>
    <row r="1" spans="1:20" s="4" customFormat="1" ht="36.75" customHeight="1" x14ac:dyDescent="0.25">
      <c r="A1" s="1" t="s">
        <v>128</v>
      </c>
      <c r="B1" s="2"/>
      <c r="C1" s="2"/>
      <c r="D1" s="2"/>
      <c r="E1" s="2"/>
      <c r="F1" s="2"/>
      <c r="G1" s="2"/>
      <c r="H1" s="2"/>
      <c r="I1" s="2"/>
      <c r="J1" s="2"/>
      <c r="K1" s="2"/>
      <c r="L1" s="2"/>
      <c r="M1" s="2"/>
      <c r="N1" s="2"/>
      <c r="O1" s="2"/>
      <c r="P1" s="2"/>
      <c r="Q1" s="3"/>
    </row>
    <row r="2" spans="1:20" s="4" customFormat="1" ht="36.75" customHeight="1" x14ac:dyDescent="0.25">
      <c r="A2" s="52" t="s">
        <v>129</v>
      </c>
      <c r="B2" s="6" t="s">
        <v>0</v>
      </c>
      <c r="C2" s="7"/>
      <c r="D2" s="7"/>
      <c r="E2" s="7"/>
      <c r="F2" s="7"/>
      <c r="G2" s="7"/>
      <c r="H2" s="7"/>
      <c r="I2" s="7"/>
      <c r="J2" s="7"/>
      <c r="K2" s="7"/>
      <c r="L2" s="7"/>
      <c r="M2" s="8"/>
      <c r="N2" s="9"/>
      <c r="O2" s="9"/>
      <c r="P2" s="7"/>
      <c r="Q2" s="10"/>
    </row>
    <row r="3" spans="1:20" s="4" customFormat="1" ht="50.25" customHeight="1" x14ac:dyDescent="0.25">
      <c r="A3" s="52" t="s">
        <v>131</v>
      </c>
      <c r="B3" s="11" t="s">
        <v>1</v>
      </c>
      <c r="C3" s="12"/>
      <c r="D3" s="12"/>
      <c r="E3" s="13"/>
      <c r="F3" s="11" t="s">
        <v>33</v>
      </c>
      <c r="G3" s="12"/>
      <c r="H3" s="12"/>
      <c r="I3" s="13"/>
      <c r="J3" s="11" t="s">
        <v>3</v>
      </c>
      <c r="K3" s="12"/>
      <c r="L3" s="12"/>
      <c r="M3" s="14"/>
      <c r="N3" s="15" t="s">
        <v>4</v>
      </c>
      <c r="O3" s="15"/>
      <c r="P3" s="12"/>
      <c r="Q3" s="16"/>
    </row>
    <row r="4" spans="1:20" s="4" customFormat="1" ht="50.25" customHeight="1" x14ac:dyDescent="0.25">
      <c r="A4" s="5" t="s">
        <v>5</v>
      </c>
      <c r="B4" s="87" t="s">
        <v>130</v>
      </c>
      <c r="C4" s="88" t="s">
        <v>36</v>
      </c>
      <c r="D4" s="88" t="s">
        <v>8</v>
      </c>
      <c r="E4" s="89" t="s">
        <v>9</v>
      </c>
      <c r="F4" s="87" t="s">
        <v>130</v>
      </c>
      <c r="G4" s="88" t="s">
        <v>37</v>
      </c>
      <c r="H4" s="88" t="s">
        <v>8</v>
      </c>
      <c r="I4" s="89" t="s">
        <v>9</v>
      </c>
      <c r="J4" s="87" t="s">
        <v>130</v>
      </c>
      <c r="K4" s="88" t="s">
        <v>37</v>
      </c>
      <c r="L4" s="88" t="s">
        <v>8</v>
      </c>
      <c r="M4" s="91" t="s">
        <v>9</v>
      </c>
      <c r="N4" s="87" t="s">
        <v>130</v>
      </c>
      <c r="O4" s="88" t="s">
        <v>37</v>
      </c>
      <c r="P4" s="88" t="s">
        <v>8</v>
      </c>
      <c r="Q4" s="89" t="s">
        <v>9</v>
      </c>
    </row>
    <row r="5" spans="1:20" s="4" customFormat="1" ht="19.5" customHeight="1" x14ac:dyDescent="0.25">
      <c r="A5" s="21" t="s">
        <v>10</v>
      </c>
      <c r="B5" s="22">
        <v>12.163950639459378</v>
      </c>
      <c r="C5" s="23">
        <v>5.4304806526148361</v>
      </c>
      <c r="D5" s="24">
        <v>0.44644053676102319</v>
      </c>
      <c r="E5" s="25">
        <v>632</v>
      </c>
      <c r="F5" s="22">
        <v>9.6051280792969553</v>
      </c>
      <c r="G5" s="23">
        <v>3.2360295637213969</v>
      </c>
      <c r="H5" s="24">
        <v>0.33690644591157365</v>
      </c>
      <c r="I5" s="25">
        <v>351</v>
      </c>
      <c r="J5" s="22">
        <v>8.9437579615810812</v>
      </c>
      <c r="K5" s="23">
        <v>3.4563745039691183</v>
      </c>
      <c r="L5" s="24">
        <v>0.38645662358220828</v>
      </c>
      <c r="M5" s="25">
        <v>31</v>
      </c>
      <c r="N5" s="22">
        <v>11.340688963306336</v>
      </c>
      <c r="O5" s="23">
        <v>3.8035477951163594</v>
      </c>
      <c r="P5" s="24">
        <v>0.33538948184039158</v>
      </c>
      <c r="Q5" s="25">
        <v>1014</v>
      </c>
      <c r="R5" s="26"/>
      <c r="S5" s="26"/>
      <c r="T5" s="26"/>
    </row>
    <row r="6" spans="1:20" s="4" customFormat="1" ht="19.5" customHeight="1" x14ac:dyDescent="0.25">
      <c r="A6" s="27" t="s">
        <v>11</v>
      </c>
      <c r="B6" s="28">
        <v>13.550102958371726</v>
      </c>
      <c r="C6" s="29">
        <v>7.5878878133860157</v>
      </c>
      <c r="D6" s="30">
        <v>0.55998746553419765</v>
      </c>
      <c r="E6" s="31">
        <v>63</v>
      </c>
      <c r="F6" s="28">
        <v>14.070795883362559</v>
      </c>
      <c r="G6" s="29">
        <v>11.757286319265081</v>
      </c>
      <c r="H6" s="30">
        <v>0.83558076008813453</v>
      </c>
      <c r="I6" s="31">
        <v>51</v>
      </c>
      <c r="J6" s="28">
        <v>6.1211252272605101</v>
      </c>
      <c r="K6" s="29">
        <v>2.2161247041164542</v>
      </c>
      <c r="L6" s="30">
        <v>0.36204531386597261</v>
      </c>
      <c r="M6" s="31">
        <v>16</v>
      </c>
      <c r="N6" s="28">
        <v>12.727142199775589</v>
      </c>
      <c r="O6" s="29">
        <v>5.2440578214709692</v>
      </c>
      <c r="P6" s="30">
        <v>0.4120373402886498</v>
      </c>
      <c r="Q6" s="31">
        <v>130</v>
      </c>
      <c r="R6" s="26"/>
      <c r="S6" s="26"/>
      <c r="T6" s="26"/>
    </row>
    <row r="7" spans="1:20" s="4" customFormat="1" ht="19.5" customHeight="1" x14ac:dyDescent="0.25">
      <c r="A7" s="27" t="s">
        <v>12</v>
      </c>
      <c r="B7" s="28">
        <v>11.931418092783062</v>
      </c>
      <c r="C7" s="29">
        <v>4.0435564799762043</v>
      </c>
      <c r="D7" s="30">
        <v>0.33889990682851218</v>
      </c>
      <c r="E7" s="31">
        <v>110</v>
      </c>
      <c r="F7" s="28">
        <v>9.8412824727535089</v>
      </c>
      <c r="G7" s="29">
        <v>3.8822261156363411</v>
      </c>
      <c r="H7" s="30">
        <v>0.39448376026037657</v>
      </c>
      <c r="I7" s="31">
        <v>70</v>
      </c>
      <c r="J7" s="28">
        <v>11.091257923929998</v>
      </c>
      <c r="K7" s="29">
        <v>7.8324949182415891</v>
      </c>
      <c r="L7" s="30">
        <v>0.70618634711780992</v>
      </c>
      <c r="M7" s="31">
        <v>13</v>
      </c>
      <c r="N7" s="28">
        <v>10.897710567556286</v>
      </c>
      <c r="O7" s="29">
        <v>2.8781302054043256</v>
      </c>
      <c r="P7" s="30">
        <v>0.26410411503979964</v>
      </c>
      <c r="Q7" s="31">
        <v>193</v>
      </c>
      <c r="R7" s="26"/>
      <c r="S7" s="26"/>
      <c r="T7" s="26"/>
    </row>
    <row r="8" spans="1:20" s="4" customFormat="1" ht="19.5" customHeight="1" x14ac:dyDescent="0.25">
      <c r="A8" s="27" t="s">
        <v>13</v>
      </c>
      <c r="B8" s="28">
        <v>8.9391757946337123</v>
      </c>
      <c r="C8" s="29">
        <v>1.1366278870480295</v>
      </c>
      <c r="D8" s="30">
        <v>0.12715130714068293</v>
      </c>
      <c r="E8" s="31">
        <v>806</v>
      </c>
      <c r="F8" s="28">
        <v>7.3395651609571031</v>
      </c>
      <c r="G8" s="29">
        <v>3.4552060094394843</v>
      </c>
      <c r="H8" s="30">
        <v>0.47076440274956483</v>
      </c>
      <c r="I8" s="31">
        <v>290</v>
      </c>
      <c r="J8" s="28">
        <v>6.1001291271845126</v>
      </c>
      <c r="K8" s="29">
        <v>4.2949096623880951</v>
      </c>
      <c r="L8" s="30">
        <v>0.70406864721081597</v>
      </c>
      <c r="M8" s="31">
        <v>33</v>
      </c>
      <c r="N8" s="28">
        <v>8.3865042188509697</v>
      </c>
      <c r="O8" s="29">
        <v>1.8389393821885467</v>
      </c>
      <c r="P8" s="30">
        <v>0.21927364897224111</v>
      </c>
      <c r="Q8" s="31">
        <v>1129</v>
      </c>
      <c r="R8" s="26"/>
      <c r="S8" s="26"/>
      <c r="T8" s="26"/>
    </row>
    <row r="9" spans="1:20" s="4" customFormat="1" ht="19.5" customHeight="1" x14ac:dyDescent="0.25">
      <c r="A9" s="27" t="s">
        <v>14</v>
      </c>
      <c r="B9" s="28">
        <v>8.6451263315115359</v>
      </c>
      <c r="C9" s="29">
        <v>1.6657122956560761</v>
      </c>
      <c r="D9" s="30">
        <v>0.19267645512414841</v>
      </c>
      <c r="E9" s="31">
        <v>349</v>
      </c>
      <c r="F9" s="28">
        <v>7.8421663975038642</v>
      </c>
      <c r="G9" s="29">
        <v>3.4340092643067752</v>
      </c>
      <c r="H9" s="30">
        <v>0.43789038516191253</v>
      </c>
      <c r="I9" s="31">
        <v>132</v>
      </c>
      <c r="J9" s="28">
        <v>7.1375019371845996</v>
      </c>
      <c r="K9" s="29">
        <v>4.1900074351715091</v>
      </c>
      <c r="L9" s="30">
        <v>0.5870411625869576</v>
      </c>
      <c r="M9" s="31">
        <v>20</v>
      </c>
      <c r="N9" s="28">
        <v>8.307429803866377</v>
      </c>
      <c r="O9" s="29">
        <v>1.7027859211034617</v>
      </c>
      <c r="P9" s="30">
        <v>0.20497144860748204</v>
      </c>
      <c r="Q9" s="31">
        <v>501</v>
      </c>
      <c r="R9" s="26"/>
      <c r="S9" s="26"/>
      <c r="T9" s="26"/>
    </row>
    <row r="10" spans="1:20" s="4" customFormat="1" ht="19.5" customHeight="1" x14ac:dyDescent="0.25">
      <c r="A10" s="27" t="s">
        <v>15</v>
      </c>
      <c r="B10" s="28">
        <v>9.6730772666756657</v>
      </c>
      <c r="C10" s="29">
        <v>3.6989350706041582</v>
      </c>
      <c r="D10" s="30">
        <v>0.38239486449128368</v>
      </c>
      <c r="E10" s="31">
        <v>231</v>
      </c>
      <c r="F10" s="28">
        <v>8.3804023201170317</v>
      </c>
      <c r="G10" s="29">
        <v>2.0917737234995664</v>
      </c>
      <c r="H10" s="30">
        <v>0.24960301947297858</v>
      </c>
      <c r="I10" s="31">
        <v>134</v>
      </c>
      <c r="J10" s="28">
        <v>6.3536594962222974</v>
      </c>
      <c r="K10" s="29">
        <v>4.2002196783619761</v>
      </c>
      <c r="L10" s="30">
        <v>0.66107094358130236</v>
      </c>
      <c r="M10" s="31">
        <v>11</v>
      </c>
      <c r="N10" s="28">
        <v>9.1926525637008236</v>
      </c>
      <c r="O10" s="29">
        <v>2.5850193038229738</v>
      </c>
      <c r="P10" s="30">
        <v>0.2812049390434358</v>
      </c>
      <c r="Q10" s="31">
        <v>376</v>
      </c>
      <c r="R10" s="26"/>
      <c r="S10" s="26"/>
      <c r="T10" s="26"/>
    </row>
    <row r="11" spans="1:20" s="4" customFormat="1" ht="19.5" customHeight="1" x14ac:dyDescent="0.25">
      <c r="A11" s="27" t="s">
        <v>16</v>
      </c>
      <c r="B11" s="28">
        <v>9.9876579926122311</v>
      </c>
      <c r="C11" s="29">
        <v>2.0492041761394426</v>
      </c>
      <c r="D11" s="30">
        <v>0.20517364307580596</v>
      </c>
      <c r="E11" s="31">
        <v>227</v>
      </c>
      <c r="F11" s="28">
        <v>9.4704783877164953</v>
      </c>
      <c r="G11" s="29">
        <v>6.1062523201789887</v>
      </c>
      <c r="H11" s="30">
        <v>0.64476704029006471</v>
      </c>
      <c r="I11" s="31">
        <v>115</v>
      </c>
      <c r="J11" s="28">
        <v>15.58364548330472</v>
      </c>
      <c r="K11" s="29">
        <v>8.5020986175637088</v>
      </c>
      <c r="L11" s="30">
        <v>0.54557828761391491</v>
      </c>
      <c r="M11" s="31">
        <v>11</v>
      </c>
      <c r="N11" s="28">
        <v>9.9112075624170259</v>
      </c>
      <c r="O11" s="29">
        <v>2.1998938252331595</v>
      </c>
      <c r="P11" s="30">
        <v>0.22196022143407476</v>
      </c>
      <c r="Q11" s="31">
        <v>353</v>
      </c>
      <c r="R11" s="26"/>
      <c r="S11" s="26"/>
      <c r="T11" s="26"/>
    </row>
    <row r="12" spans="1:20" s="4" customFormat="1" ht="19.5" customHeight="1" x14ac:dyDescent="0.25">
      <c r="A12" s="27" t="s">
        <v>17</v>
      </c>
      <c r="B12" s="28">
        <v>7.7745306121794062</v>
      </c>
      <c r="C12" s="29">
        <v>2.622824780652325</v>
      </c>
      <c r="D12" s="30">
        <v>0.33736117477542199</v>
      </c>
      <c r="E12" s="31">
        <v>501</v>
      </c>
      <c r="F12" s="28">
        <v>9.7326024667270179</v>
      </c>
      <c r="G12" s="29">
        <v>2.9155465318940057</v>
      </c>
      <c r="H12" s="30">
        <v>0.29956494594959826</v>
      </c>
      <c r="I12" s="31">
        <v>521</v>
      </c>
      <c r="J12" s="28">
        <v>5.8139846945258062</v>
      </c>
      <c r="K12" s="29">
        <v>2.6505609178475158</v>
      </c>
      <c r="L12" s="30">
        <v>0.45589403087750952</v>
      </c>
      <c r="M12" s="31">
        <v>64</v>
      </c>
      <c r="N12" s="28">
        <v>8.7316381582730962</v>
      </c>
      <c r="O12" s="29">
        <v>1.9598716923861401</v>
      </c>
      <c r="P12" s="30">
        <v>0.22445635708451697</v>
      </c>
      <c r="Q12" s="31">
        <v>1086</v>
      </c>
      <c r="R12" s="26"/>
      <c r="S12" s="26"/>
      <c r="T12" s="26"/>
    </row>
    <row r="13" spans="1:20" s="4" customFormat="1" ht="19.5" customHeight="1" x14ac:dyDescent="0.25">
      <c r="A13" s="27" t="s">
        <v>18</v>
      </c>
      <c r="B13" s="28">
        <v>8.9356296612959181</v>
      </c>
      <c r="C13" s="29">
        <v>8.4665812186749232</v>
      </c>
      <c r="D13" s="30">
        <v>0.94750807045499585</v>
      </c>
      <c r="E13" s="31">
        <v>104</v>
      </c>
      <c r="F13" s="28">
        <v>7.9035702372226746</v>
      </c>
      <c r="G13" s="29">
        <v>2.6646860968796462</v>
      </c>
      <c r="H13" s="30">
        <v>0.3371496699466317</v>
      </c>
      <c r="I13" s="31">
        <v>126</v>
      </c>
      <c r="J13" s="28">
        <v>5.6809483355287442</v>
      </c>
      <c r="K13" s="29">
        <v>1.8458360885664842</v>
      </c>
      <c r="L13" s="30">
        <v>0.32491689407252572</v>
      </c>
      <c r="M13" s="31">
        <v>14</v>
      </c>
      <c r="N13" s="28">
        <v>8.5157968270792779</v>
      </c>
      <c r="O13" s="29">
        <v>5.309156316769311</v>
      </c>
      <c r="P13" s="30">
        <v>0.62344797845420519</v>
      </c>
      <c r="Q13" s="31">
        <v>244</v>
      </c>
      <c r="R13" s="26"/>
      <c r="S13" s="26"/>
      <c r="T13" s="26"/>
    </row>
    <row r="14" spans="1:20" s="4" customFormat="1" ht="19.5" customHeight="1" x14ac:dyDescent="0.25">
      <c r="A14" s="27" t="s">
        <v>19</v>
      </c>
      <c r="B14" s="32">
        <v>9.9439334767698657</v>
      </c>
      <c r="C14" s="33">
        <v>2.8559934792464339</v>
      </c>
      <c r="D14" s="30">
        <v>0.28720963247776671</v>
      </c>
      <c r="E14" s="31">
        <v>26</v>
      </c>
      <c r="F14" s="32">
        <v>7.2355972943896179</v>
      </c>
      <c r="G14" s="33">
        <v>1.9267306002825755</v>
      </c>
      <c r="H14" s="30">
        <v>0.26628494122752461</v>
      </c>
      <c r="I14" s="31">
        <v>25</v>
      </c>
      <c r="J14" s="32">
        <v>9.0000000000000071</v>
      </c>
      <c r="K14" s="33">
        <v>4.3386835703347133</v>
      </c>
      <c r="L14" s="30">
        <v>0.48207595225941219</v>
      </c>
      <c r="M14" s="31">
        <v>1</v>
      </c>
      <c r="N14" s="32">
        <v>8.1253875767105903</v>
      </c>
      <c r="O14" s="33">
        <v>2.0614653309337259</v>
      </c>
      <c r="P14" s="30">
        <v>0.25370670770738435</v>
      </c>
      <c r="Q14" s="31">
        <v>52</v>
      </c>
      <c r="R14" s="26"/>
      <c r="S14" s="26"/>
      <c r="T14" s="26"/>
    </row>
    <row r="15" spans="1:20" s="4" customFormat="1" ht="19.5" customHeight="1" thickBot="1" x14ac:dyDescent="0.3">
      <c r="A15" s="27" t="s">
        <v>20</v>
      </c>
      <c r="B15" s="32">
        <v>9.8615621258794448</v>
      </c>
      <c r="C15" s="34">
        <v>7.0063354753517268</v>
      </c>
      <c r="D15" s="30">
        <v>0.71046913114963606</v>
      </c>
      <c r="E15" s="31">
        <v>15</v>
      </c>
      <c r="F15" s="32">
        <v>5.1646176103538046</v>
      </c>
      <c r="G15" s="34">
        <v>0.64568661619846734</v>
      </c>
      <c r="H15" s="30">
        <v>0.12502118548022267</v>
      </c>
      <c r="I15" s="31">
        <v>9</v>
      </c>
      <c r="J15" s="32">
        <v>3.5000000000000044</v>
      </c>
      <c r="K15" s="34">
        <v>0.65342974160880696</v>
      </c>
      <c r="L15" s="30">
        <v>0.18669421188823032</v>
      </c>
      <c r="M15" s="31">
        <v>1</v>
      </c>
      <c r="N15" s="32">
        <v>7.7720358555302251</v>
      </c>
      <c r="O15" s="34">
        <v>3.7354550024194979</v>
      </c>
      <c r="P15" s="30">
        <v>0.48062760798530274</v>
      </c>
      <c r="Q15" s="31">
        <v>25</v>
      </c>
      <c r="R15" s="26"/>
      <c r="S15" s="26"/>
      <c r="T15" s="26"/>
    </row>
    <row r="16" spans="1:20" s="4" customFormat="1" ht="24.75" customHeight="1" thickTop="1" x14ac:dyDescent="0.25">
      <c r="A16" s="35" t="s">
        <v>4</v>
      </c>
      <c r="B16" s="36">
        <v>9.2755416312090571</v>
      </c>
      <c r="C16" s="37">
        <v>2.5424617568090873</v>
      </c>
      <c r="D16" s="38">
        <v>0.2741038591487277</v>
      </c>
      <c r="E16" s="39">
        <v>3064</v>
      </c>
      <c r="F16" s="36">
        <v>9.0940580739203476</v>
      </c>
      <c r="G16" s="37">
        <v>1.6420049547897133</v>
      </c>
      <c r="H16" s="38">
        <v>0.18055800187801782</v>
      </c>
      <c r="I16" s="39">
        <v>1824</v>
      </c>
      <c r="J16" s="36">
        <v>6.7722507091619217</v>
      </c>
      <c r="K16" s="37">
        <v>1.7900260443838687</v>
      </c>
      <c r="L16" s="38">
        <v>0.26431774623497178</v>
      </c>
      <c r="M16" s="39">
        <v>215</v>
      </c>
      <c r="N16" s="36">
        <v>9.1266546231658605</v>
      </c>
      <c r="O16" s="37">
        <v>1.5886843631048901</v>
      </c>
      <c r="P16" s="38">
        <v>0.17407083194234058</v>
      </c>
      <c r="Q16" s="39">
        <v>5103</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87" t="s">
        <v>130</v>
      </c>
      <c r="C18" s="88" t="s">
        <v>36</v>
      </c>
      <c r="D18" s="88" t="s">
        <v>8</v>
      </c>
      <c r="E18" s="89" t="s">
        <v>9</v>
      </c>
      <c r="F18" s="87" t="s">
        <v>130</v>
      </c>
      <c r="G18" s="88" t="s">
        <v>37</v>
      </c>
      <c r="H18" s="88" t="s">
        <v>8</v>
      </c>
      <c r="I18" s="89" t="s">
        <v>9</v>
      </c>
      <c r="J18" s="87" t="s">
        <v>130</v>
      </c>
      <c r="K18" s="88" t="s">
        <v>37</v>
      </c>
      <c r="L18" s="88" t="s">
        <v>8</v>
      </c>
      <c r="M18" s="91" t="s">
        <v>9</v>
      </c>
      <c r="N18" s="87" t="s">
        <v>130</v>
      </c>
      <c r="O18" s="88" t="s">
        <v>37</v>
      </c>
      <c r="P18" s="88" t="s">
        <v>8</v>
      </c>
      <c r="Q18" s="89" t="s">
        <v>9</v>
      </c>
    </row>
    <row r="19" spans="1:20" s="4" customFormat="1" ht="19.5" customHeight="1" x14ac:dyDescent="0.25">
      <c r="A19" s="21" t="s">
        <v>10</v>
      </c>
      <c r="B19" s="22">
        <v>9.9665009007201171</v>
      </c>
      <c r="C19" s="23">
        <v>3.6929941134703905</v>
      </c>
      <c r="D19" s="24">
        <v>0.37054068928078437</v>
      </c>
      <c r="E19" s="25">
        <v>2522</v>
      </c>
      <c r="F19" s="22">
        <v>8.5451814737963563</v>
      </c>
      <c r="G19" s="23">
        <v>1.7263045316435208</v>
      </c>
      <c r="H19" s="24">
        <v>0.20202081570031044</v>
      </c>
      <c r="I19" s="25">
        <v>1269</v>
      </c>
      <c r="J19" s="22">
        <v>7.7409570471775409</v>
      </c>
      <c r="K19" s="23">
        <v>2.2721881514670468</v>
      </c>
      <c r="L19" s="24">
        <v>0.29352806605425069</v>
      </c>
      <c r="M19" s="25">
        <v>149</v>
      </c>
      <c r="N19" s="22">
        <v>9.4352041697593663</v>
      </c>
      <c r="O19" s="23">
        <v>2.4070552560263994</v>
      </c>
      <c r="P19" s="24">
        <v>0.25511427338702608</v>
      </c>
      <c r="Q19" s="25">
        <v>3940</v>
      </c>
      <c r="R19" s="26"/>
      <c r="S19" s="26"/>
      <c r="T19" s="26"/>
    </row>
    <row r="20" spans="1:20" s="4" customFormat="1" ht="19.5" customHeight="1" thickBot="1" x14ac:dyDescent="0.3">
      <c r="A20" s="27" t="s">
        <v>11</v>
      </c>
      <c r="B20" s="28">
        <v>7.869979013087816</v>
      </c>
      <c r="C20" s="29">
        <v>2.500947095094165</v>
      </c>
      <c r="D20" s="30">
        <v>0.31778319750727124</v>
      </c>
      <c r="E20" s="31">
        <v>542</v>
      </c>
      <c r="F20" s="28">
        <v>9.5792696149840157</v>
      </c>
      <c r="G20" s="29">
        <v>2.7621017952889382</v>
      </c>
      <c r="H20" s="30">
        <v>0.28834158618611416</v>
      </c>
      <c r="I20" s="31">
        <v>555</v>
      </c>
      <c r="J20" s="28">
        <v>5.7892835990261364</v>
      </c>
      <c r="K20" s="29">
        <v>2.5747021163143504</v>
      </c>
      <c r="L20" s="30">
        <v>0.44473587660267022</v>
      </c>
      <c r="M20" s="31">
        <v>66</v>
      </c>
      <c r="N20" s="28">
        <v>8.6967721326015663</v>
      </c>
      <c r="O20" s="29">
        <v>1.8575725292301284</v>
      </c>
      <c r="P20" s="30">
        <v>0.21359333105516831</v>
      </c>
      <c r="Q20" s="31">
        <v>1163</v>
      </c>
      <c r="R20" s="26"/>
      <c r="S20" s="26"/>
      <c r="T20" s="26"/>
    </row>
    <row r="21" spans="1:20" s="4" customFormat="1" ht="24.75" customHeight="1" thickTop="1" x14ac:dyDescent="0.25">
      <c r="A21" s="35" t="s">
        <v>4</v>
      </c>
      <c r="B21" s="36">
        <v>9.2755416312090571</v>
      </c>
      <c r="C21" s="37">
        <v>2.5424617568090873</v>
      </c>
      <c r="D21" s="38">
        <v>0.2741038591487277</v>
      </c>
      <c r="E21" s="39">
        <v>3064</v>
      </c>
      <c r="F21" s="36">
        <v>9.0940580739203476</v>
      </c>
      <c r="G21" s="37">
        <v>1.6420049547897133</v>
      </c>
      <c r="H21" s="38">
        <v>0.18055800187801782</v>
      </c>
      <c r="I21" s="39">
        <v>1824</v>
      </c>
      <c r="J21" s="36">
        <v>6.7722507091619217</v>
      </c>
      <c r="K21" s="37">
        <v>1.7900260443838687</v>
      </c>
      <c r="L21" s="38">
        <v>0.26431774623497178</v>
      </c>
      <c r="M21" s="39">
        <v>215</v>
      </c>
      <c r="N21" s="36">
        <v>9.1266546231658605</v>
      </c>
      <c r="O21" s="37">
        <v>1.5886843631048901</v>
      </c>
      <c r="P21" s="38">
        <v>0.17407083194234058</v>
      </c>
      <c r="Q21" s="39">
        <v>5103</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80</v>
      </c>
      <c r="B23" s="44" t="s">
        <v>26</v>
      </c>
      <c r="C23" s="4" t="s">
        <v>40</v>
      </c>
    </row>
    <row r="24" spans="1:20" s="4" customFormat="1" x14ac:dyDescent="0.25">
      <c r="A24" s="40"/>
      <c r="B24" s="45" t="s">
        <v>26</v>
      </c>
      <c r="C24" s="4" t="s">
        <v>29</v>
      </c>
    </row>
    <row r="25" spans="1:20" x14ac:dyDescent="0.25">
      <c r="A25" s="154" t="s">
        <v>240</v>
      </c>
    </row>
  </sheetData>
  <conditionalFormatting sqref="M5:M15">
    <cfRule type="expression" dxfId="869" priority="56">
      <formula>M5&lt;=1</formula>
    </cfRule>
  </conditionalFormatting>
  <conditionalFormatting sqref="L5:L15">
    <cfRule type="expression" dxfId="868" priority="54">
      <formula>OR(L5&gt;=0.5,M5&lt;=5)</formula>
    </cfRule>
    <cfRule type="expression" dxfId="867" priority="55">
      <formula>M5&lt;=1</formula>
    </cfRule>
  </conditionalFormatting>
  <conditionalFormatting sqref="I5:I15">
    <cfRule type="expression" dxfId="866" priority="53">
      <formula>I5&lt;=1</formula>
    </cfRule>
  </conditionalFormatting>
  <conditionalFormatting sqref="H5:H15">
    <cfRule type="expression" dxfId="865" priority="51">
      <formula>OR(H5&gt;=0.5,I5&lt;=5)</formula>
    </cfRule>
    <cfRule type="expression" dxfId="864" priority="52">
      <formula>I5&lt;=1</formula>
    </cfRule>
  </conditionalFormatting>
  <conditionalFormatting sqref="E5:E15">
    <cfRule type="expression" dxfId="863" priority="50">
      <formula>E5&lt;=1</formula>
    </cfRule>
  </conditionalFormatting>
  <conditionalFormatting sqref="D5:D15">
    <cfRule type="expression" dxfId="862" priority="46">
      <formula>OR(D5&gt;=0.5,E5&lt;=5)</formula>
    </cfRule>
    <cfRule type="expression" dxfId="861" priority="49">
      <formula>E5&lt;=1</formula>
    </cfRule>
  </conditionalFormatting>
  <conditionalFormatting sqref="C5:C15">
    <cfRule type="expression" dxfId="860" priority="45">
      <formula>OR(D5&gt;=0.5,E5&lt;=5)</formula>
    </cfRule>
    <cfRule type="expression" dxfId="859" priority="48">
      <formula>E5&lt;=1</formula>
    </cfRule>
  </conditionalFormatting>
  <conditionalFormatting sqref="B5:B15">
    <cfRule type="expression" dxfId="858" priority="44">
      <formula>OR(D5&gt;=0.5,E5&lt;=5)</formula>
    </cfRule>
    <cfRule type="expression" dxfId="857" priority="47">
      <formula>E5&lt;=1</formula>
    </cfRule>
  </conditionalFormatting>
  <conditionalFormatting sqref="Q5:Q15">
    <cfRule type="expression" dxfId="856" priority="43">
      <formula>Q5&lt;=1</formula>
    </cfRule>
  </conditionalFormatting>
  <conditionalFormatting sqref="P5:P15">
    <cfRule type="expression" dxfId="855" priority="41">
      <formula>OR(P5&gt;=0.5,Q5&lt;=5)</formula>
    </cfRule>
    <cfRule type="expression" dxfId="854" priority="42">
      <formula>Q5&lt;=1</formula>
    </cfRule>
  </conditionalFormatting>
  <conditionalFormatting sqref="G5:G15">
    <cfRule type="expression" dxfId="853" priority="38">
      <formula>OR(H5&gt;=0.5,I5&lt;=5)</formula>
    </cfRule>
    <cfRule type="expression" dxfId="852" priority="40">
      <formula>I5&lt;=1</formula>
    </cfRule>
  </conditionalFormatting>
  <conditionalFormatting sqref="F5:F15">
    <cfRule type="expression" dxfId="851" priority="37">
      <formula>OR(H5&gt;=0.5,I5&lt;=5)</formula>
    </cfRule>
    <cfRule type="expression" dxfId="850" priority="39">
      <formula>I5&lt;=1</formula>
    </cfRule>
  </conditionalFormatting>
  <conditionalFormatting sqref="K5:K15">
    <cfRule type="expression" dxfId="849" priority="34">
      <formula>OR(L5&gt;=0.5,M5&lt;=5)</formula>
    </cfRule>
    <cfRule type="expression" dxfId="848" priority="36">
      <formula>M5&lt;=1</formula>
    </cfRule>
  </conditionalFormatting>
  <conditionalFormatting sqref="J5:J15">
    <cfRule type="expression" dxfId="847" priority="33">
      <formula>OR(L5&gt;=0.5,M5&lt;=5)</formula>
    </cfRule>
    <cfRule type="expression" dxfId="846" priority="35">
      <formula>M5&lt;=1</formula>
    </cfRule>
  </conditionalFormatting>
  <conditionalFormatting sqref="O5:O15">
    <cfRule type="expression" dxfId="845" priority="30">
      <formula>OR(P5&gt;=0.5,Q5&lt;=5)</formula>
    </cfRule>
    <cfRule type="expression" dxfId="844" priority="32">
      <formula>Q5&lt;=1</formula>
    </cfRule>
  </conditionalFormatting>
  <conditionalFormatting sqref="N5:N15">
    <cfRule type="expression" dxfId="843" priority="29">
      <formula>OR(P5&gt;=0.5,Q5&lt;=5)</formula>
    </cfRule>
    <cfRule type="expression" dxfId="842" priority="31">
      <formula>Q5&lt;=1</formula>
    </cfRule>
  </conditionalFormatting>
  <conditionalFormatting sqref="M19:M20">
    <cfRule type="expression" dxfId="841" priority="28">
      <formula>M19&lt;=1</formula>
    </cfRule>
  </conditionalFormatting>
  <conditionalFormatting sqref="L19:L20">
    <cfRule type="expression" dxfId="840" priority="26">
      <formula>OR(L19&gt;=0.5,M19&lt;=5)</formula>
    </cfRule>
    <cfRule type="expression" dxfId="839" priority="27">
      <formula>M19&lt;=1</formula>
    </cfRule>
  </conditionalFormatting>
  <conditionalFormatting sqref="I19:I20">
    <cfRule type="expression" dxfId="838" priority="25">
      <formula>I19&lt;=1</formula>
    </cfRule>
  </conditionalFormatting>
  <conditionalFormatting sqref="H19:H20">
    <cfRule type="expression" dxfId="837" priority="23">
      <formula>OR(H19&gt;=0.5,I19&lt;=5)</formula>
    </cfRule>
    <cfRule type="expression" dxfId="836" priority="24">
      <formula>I19&lt;=1</formula>
    </cfRule>
  </conditionalFormatting>
  <conditionalFormatting sqref="E19:E20">
    <cfRule type="expression" dxfId="835" priority="22">
      <formula>E19&lt;=1</formula>
    </cfRule>
  </conditionalFormatting>
  <conditionalFormatting sqref="D19:D20">
    <cfRule type="expression" dxfId="834" priority="18">
      <formula>OR(D19&gt;=0.5,E19&lt;=5)</formula>
    </cfRule>
    <cfRule type="expression" dxfId="833" priority="21">
      <formula>E19&lt;=1</formula>
    </cfRule>
  </conditionalFormatting>
  <conditionalFormatting sqref="C19:C20">
    <cfRule type="expression" dxfId="832" priority="17">
      <formula>OR(D19&gt;=0.5,E19&lt;=5)</formula>
    </cfRule>
    <cfRule type="expression" dxfId="831" priority="20">
      <formula>E19&lt;=1</formula>
    </cfRule>
  </conditionalFormatting>
  <conditionalFormatting sqref="B19:B20">
    <cfRule type="expression" dxfId="830" priority="16">
      <formula>OR(D19&gt;=0.5,E19&lt;=5)</formula>
    </cfRule>
    <cfRule type="expression" dxfId="829" priority="19">
      <formula>E19&lt;=1</formula>
    </cfRule>
  </conditionalFormatting>
  <conditionalFormatting sqref="Q19:Q20">
    <cfRule type="expression" dxfId="828" priority="15">
      <formula>Q19&lt;=1</formula>
    </cfRule>
  </conditionalFormatting>
  <conditionalFormatting sqref="P19:P20">
    <cfRule type="expression" dxfId="827" priority="13">
      <formula>OR(P19&gt;=0.5,Q19&lt;=5)</formula>
    </cfRule>
    <cfRule type="expression" dxfId="826" priority="14">
      <formula>Q19&lt;=1</formula>
    </cfRule>
  </conditionalFormatting>
  <conditionalFormatting sqref="G19:G20">
    <cfRule type="expression" dxfId="825" priority="10">
      <formula>OR(H19&gt;=0.5,I19&lt;=5)</formula>
    </cfRule>
    <cfRule type="expression" dxfId="824" priority="12">
      <formula>I19&lt;=1</formula>
    </cfRule>
  </conditionalFormatting>
  <conditionalFormatting sqref="F19:F20">
    <cfRule type="expression" dxfId="823" priority="9">
      <formula>OR(H19&gt;=0.5,I19&lt;=5)</formula>
    </cfRule>
    <cfRule type="expression" dxfId="822" priority="11">
      <formula>I19&lt;=1</formula>
    </cfRule>
  </conditionalFormatting>
  <conditionalFormatting sqref="K19:K20">
    <cfRule type="expression" dxfId="821" priority="6">
      <formula>OR(L19&gt;=0.5,M19&lt;=5)</formula>
    </cfRule>
    <cfRule type="expression" dxfId="820" priority="8">
      <formula>M19&lt;=1</formula>
    </cfRule>
  </conditionalFormatting>
  <conditionalFormatting sqref="J19:J20">
    <cfRule type="expression" dxfId="819" priority="5">
      <formula>OR(L19&gt;=0.5,M19&lt;=5)</formula>
    </cfRule>
    <cfRule type="expression" dxfId="818" priority="7">
      <formula>M19&lt;=1</formula>
    </cfRule>
  </conditionalFormatting>
  <conditionalFormatting sqref="O19:O20">
    <cfRule type="expression" dxfId="817" priority="2">
      <formula>OR(P19&gt;=0.5,Q19&lt;=5)</formula>
    </cfRule>
    <cfRule type="expression" dxfId="816" priority="4">
      <formula>Q19&lt;=1</formula>
    </cfRule>
  </conditionalFormatting>
  <conditionalFormatting sqref="N19:N20">
    <cfRule type="expression" dxfId="815" priority="1">
      <formula>OR(P19&gt;=0.5,Q19&lt;=5)</formula>
    </cfRule>
    <cfRule type="expression" dxfId="814" priority="3">
      <formula>Q19&lt;=1</formula>
    </cfRule>
  </conditionalFormatting>
  <hyperlinks>
    <hyperlink ref="A25" location="Überblick!A1" display="zurück zur Übersicht" xr:uid="{9F6DB3BE-188B-48C8-9020-9A818A5EB632}"/>
  </hyperlink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2A803-04F9-4BBF-9763-216EE4D7D3B9}">
  <sheetPr codeName="Tabelle5"/>
  <dimension ref="A1:T25"/>
  <sheetViews>
    <sheetView workbookViewId="0">
      <selection activeCell="A25" sqref="A25"/>
    </sheetView>
  </sheetViews>
  <sheetFormatPr baseColWidth="10" defaultRowHeight="15" x14ac:dyDescent="0.25"/>
  <cols>
    <col min="1" max="1" width="61.140625" customWidth="1"/>
  </cols>
  <sheetData>
    <row r="1" spans="1:20" s="4" customFormat="1" ht="36.75" customHeight="1" x14ac:dyDescent="0.25">
      <c r="A1" s="1" t="s">
        <v>48</v>
      </c>
      <c r="B1" s="2"/>
      <c r="C1" s="2"/>
      <c r="D1" s="2"/>
      <c r="E1" s="2"/>
      <c r="F1" s="2"/>
      <c r="G1" s="2"/>
      <c r="H1" s="2"/>
      <c r="I1" s="2"/>
      <c r="J1" s="2"/>
      <c r="K1" s="2"/>
      <c r="L1" s="2"/>
      <c r="M1" s="2"/>
      <c r="N1" s="2"/>
      <c r="O1" s="2"/>
      <c r="P1" s="2"/>
      <c r="Q1" s="3"/>
    </row>
    <row r="2" spans="1:20" s="4" customFormat="1" ht="36.75" customHeight="1" x14ac:dyDescent="0.25">
      <c r="A2" s="52" t="s">
        <v>49</v>
      </c>
      <c r="B2" s="6" t="s">
        <v>0</v>
      </c>
      <c r="C2" s="7"/>
      <c r="D2" s="7"/>
      <c r="E2" s="7"/>
      <c r="F2" s="7"/>
      <c r="G2" s="7"/>
      <c r="H2" s="7"/>
      <c r="I2" s="7"/>
      <c r="J2" s="7"/>
      <c r="K2" s="7"/>
      <c r="L2" s="7"/>
      <c r="M2" s="8"/>
      <c r="N2" s="9"/>
      <c r="O2" s="9"/>
      <c r="P2" s="7"/>
      <c r="Q2" s="10"/>
    </row>
    <row r="3" spans="1:20" s="4" customFormat="1" ht="50.25" customHeight="1" x14ac:dyDescent="0.25">
      <c r="A3" s="52" t="s">
        <v>50</v>
      </c>
      <c r="B3" s="11" t="s">
        <v>1</v>
      </c>
      <c r="C3" s="12"/>
      <c r="D3" s="12"/>
      <c r="E3" s="13"/>
      <c r="F3" s="11" t="s">
        <v>33</v>
      </c>
      <c r="G3" s="12"/>
      <c r="H3" s="12"/>
      <c r="I3" s="13"/>
      <c r="J3" s="11" t="s">
        <v>3</v>
      </c>
      <c r="K3" s="12"/>
      <c r="L3" s="12"/>
      <c r="M3" s="14"/>
      <c r="N3" s="15" t="s">
        <v>4</v>
      </c>
      <c r="O3" s="15"/>
      <c r="P3" s="12"/>
      <c r="Q3" s="16"/>
    </row>
    <row r="4" spans="1:20" s="4" customFormat="1" ht="50.25" customHeight="1" x14ac:dyDescent="0.25">
      <c r="A4" s="5" t="s">
        <v>5</v>
      </c>
      <c r="B4" s="17" t="s">
        <v>51</v>
      </c>
      <c r="C4" s="18" t="s">
        <v>36</v>
      </c>
      <c r="D4" s="18" t="s">
        <v>8</v>
      </c>
      <c r="E4" s="19" t="s">
        <v>9</v>
      </c>
      <c r="F4" s="17" t="s">
        <v>51</v>
      </c>
      <c r="G4" s="18" t="s">
        <v>37</v>
      </c>
      <c r="H4" s="18" t="s">
        <v>8</v>
      </c>
      <c r="I4" s="19" t="s">
        <v>9</v>
      </c>
      <c r="J4" s="17" t="s">
        <v>51</v>
      </c>
      <c r="K4" s="18" t="s">
        <v>37</v>
      </c>
      <c r="L4" s="18" t="s">
        <v>8</v>
      </c>
      <c r="M4" s="20" t="s">
        <v>9</v>
      </c>
      <c r="N4" s="17" t="s">
        <v>51</v>
      </c>
      <c r="O4" s="18" t="s">
        <v>37</v>
      </c>
      <c r="P4" s="18" t="s">
        <v>8</v>
      </c>
      <c r="Q4" s="19" t="s">
        <v>9</v>
      </c>
    </row>
    <row r="5" spans="1:20" s="4" customFormat="1" ht="19.5" customHeight="1" x14ac:dyDescent="0.25">
      <c r="A5" s="21" t="s">
        <v>10</v>
      </c>
      <c r="B5" s="22">
        <v>1114.6508813376099</v>
      </c>
      <c r="C5" s="23">
        <v>163.52636345213801</v>
      </c>
      <c r="D5" s="24">
        <v>0.14670635101091217</v>
      </c>
      <c r="E5" s="25">
        <v>632</v>
      </c>
      <c r="F5" s="22">
        <v>904.22269295199396</v>
      </c>
      <c r="G5" s="23">
        <v>205.70887434091699</v>
      </c>
      <c r="H5" s="24">
        <v>0.22749802227296928</v>
      </c>
      <c r="I5" s="25">
        <v>351</v>
      </c>
      <c r="J5" s="22">
        <v>751.45842100603704</v>
      </c>
      <c r="K5" s="23">
        <v>121.311759905347</v>
      </c>
      <c r="L5" s="24">
        <v>0.16143509276659287</v>
      </c>
      <c r="M5" s="25">
        <v>31</v>
      </c>
      <c r="N5" s="22">
        <v>1028.9446490478699</v>
      </c>
      <c r="O5" s="23">
        <v>128.42329112980801</v>
      </c>
      <c r="P5" s="24">
        <v>0.12481068952410999</v>
      </c>
      <c r="Q5" s="25">
        <v>1014</v>
      </c>
      <c r="R5" s="26"/>
      <c r="S5" s="26"/>
      <c r="T5" s="26"/>
    </row>
    <row r="6" spans="1:20" s="4" customFormat="1" ht="19.5" customHeight="1" x14ac:dyDescent="0.25">
      <c r="A6" s="27" t="s">
        <v>11</v>
      </c>
      <c r="B6" s="28">
        <v>2117.0607059907802</v>
      </c>
      <c r="C6" s="29">
        <v>759.72640364265703</v>
      </c>
      <c r="D6" s="30">
        <v>0.35885905467557511</v>
      </c>
      <c r="E6" s="31">
        <v>63</v>
      </c>
      <c r="F6" s="28">
        <v>1525.8693383121699</v>
      </c>
      <c r="G6" s="29">
        <v>835.36376347110297</v>
      </c>
      <c r="H6" s="30">
        <v>0.5474674288921324</v>
      </c>
      <c r="I6" s="31">
        <v>51</v>
      </c>
      <c r="J6" s="28">
        <v>801.60620449652004</v>
      </c>
      <c r="K6" s="29">
        <v>300.87995807428598</v>
      </c>
      <c r="L6" s="30">
        <v>0.37534634386127957</v>
      </c>
      <c r="M6" s="31">
        <v>16</v>
      </c>
      <c r="N6" s="28">
        <v>1731.80983136905</v>
      </c>
      <c r="O6" s="29">
        <v>471.92519641893898</v>
      </c>
      <c r="P6" s="30">
        <v>0.27250405204471401</v>
      </c>
      <c r="Q6" s="31">
        <v>130</v>
      </c>
      <c r="R6" s="26"/>
      <c r="S6" s="26"/>
      <c r="T6" s="26"/>
    </row>
    <row r="7" spans="1:20" s="4" customFormat="1" ht="19.5" customHeight="1" x14ac:dyDescent="0.25">
      <c r="A7" s="27" t="s">
        <v>12</v>
      </c>
      <c r="B7" s="28">
        <v>2120.1192682160599</v>
      </c>
      <c r="C7" s="29">
        <v>398.19576593737901</v>
      </c>
      <c r="D7" s="30">
        <v>0.1878176251246631</v>
      </c>
      <c r="E7" s="31">
        <v>110</v>
      </c>
      <c r="F7" s="28">
        <v>1236.83555753067</v>
      </c>
      <c r="G7" s="29">
        <v>281.28539067887101</v>
      </c>
      <c r="H7" s="30">
        <v>0.22742343472114798</v>
      </c>
      <c r="I7" s="31">
        <v>70</v>
      </c>
      <c r="J7" s="28">
        <v>1523.58881358655</v>
      </c>
      <c r="K7" s="29">
        <v>569.14275102803003</v>
      </c>
      <c r="L7" s="30">
        <v>0.37355403633363504</v>
      </c>
      <c r="M7" s="31">
        <v>13</v>
      </c>
      <c r="N7" s="28">
        <v>1601.2358312512099</v>
      </c>
      <c r="O7" s="29">
        <v>248.661457804462</v>
      </c>
      <c r="P7" s="30">
        <v>0.15529346330587498</v>
      </c>
      <c r="Q7" s="31">
        <v>193</v>
      </c>
      <c r="R7" s="26"/>
      <c r="S7" s="26"/>
      <c r="T7" s="26"/>
    </row>
    <row r="8" spans="1:20" s="4" customFormat="1" ht="19.5" customHeight="1" x14ac:dyDescent="0.25">
      <c r="A8" s="27" t="s">
        <v>13</v>
      </c>
      <c r="B8" s="28">
        <v>1432.4181274815501</v>
      </c>
      <c r="C8" s="29">
        <v>115.419910070364</v>
      </c>
      <c r="D8" s="30">
        <v>8.0576968313918959E-2</v>
      </c>
      <c r="E8" s="31">
        <v>806</v>
      </c>
      <c r="F8" s="28">
        <v>754.84552890692601</v>
      </c>
      <c r="G8" s="29">
        <v>220.966082389218</v>
      </c>
      <c r="H8" s="30">
        <v>0.29273019965978175</v>
      </c>
      <c r="I8" s="31">
        <v>290</v>
      </c>
      <c r="J8" s="28">
        <v>490.35088781971399</v>
      </c>
      <c r="K8" s="29">
        <v>207.48548659641</v>
      </c>
      <c r="L8" s="30">
        <v>0.42313676134852973</v>
      </c>
      <c r="M8" s="31">
        <v>33</v>
      </c>
      <c r="N8" s="28">
        <v>1122.38257624479</v>
      </c>
      <c r="O8" s="29">
        <v>166.00214816060901</v>
      </c>
      <c r="P8" s="30">
        <v>0.14790157266696929</v>
      </c>
      <c r="Q8" s="31">
        <v>1129</v>
      </c>
      <c r="R8" s="26"/>
      <c r="S8" s="26"/>
      <c r="T8" s="26"/>
    </row>
    <row r="9" spans="1:20" s="4" customFormat="1" ht="19.5" customHeight="1" x14ac:dyDescent="0.25">
      <c r="A9" s="27" t="s">
        <v>14</v>
      </c>
      <c r="B9" s="28">
        <v>733.60946601290004</v>
      </c>
      <c r="C9" s="29">
        <v>84.209616933007695</v>
      </c>
      <c r="D9" s="30">
        <v>0.1147880729929498</v>
      </c>
      <c r="E9" s="31">
        <v>349</v>
      </c>
      <c r="F9" s="28">
        <v>733.87916939824902</v>
      </c>
      <c r="G9" s="29">
        <v>206.38553971211499</v>
      </c>
      <c r="H9" s="30">
        <v>0.28122550457637696</v>
      </c>
      <c r="I9" s="31">
        <v>132</v>
      </c>
      <c r="J9" s="28">
        <v>368.86457724605299</v>
      </c>
      <c r="K9" s="29">
        <v>68.619996881347902</v>
      </c>
      <c r="L9" s="30">
        <v>0.1860303241738894</v>
      </c>
      <c r="M9" s="31">
        <v>20</v>
      </c>
      <c r="N9" s="28">
        <v>713.12152505149697</v>
      </c>
      <c r="O9" s="29">
        <v>83.284265168726193</v>
      </c>
      <c r="P9" s="30">
        <v>0.11678832042366405</v>
      </c>
      <c r="Q9" s="31">
        <v>501</v>
      </c>
      <c r="R9" s="26"/>
      <c r="S9" s="26"/>
      <c r="T9" s="26"/>
    </row>
    <row r="10" spans="1:20" s="4" customFormat="1" ht="19.5" customHeight="1" x14ac:dyDescent="0.25">
      <c r="A10" s="27" t="s">
        <v>15</v>
      </c>
      <c r="B10" s="28">
        <v>1954.4746573080499</v>
      </c>
      <c r="C10" s="29">
        <v>845.44575511143898</v>
      </c>
      <c r="D10" s="30">
        <v>0.43256931060743142</v>
      </c>
      <c r="E10" s="31">
        <v>231</v>
      </c>
      <c r="F10" s="28">
        <v>1179.7382448088199</v>
      </c>
      <c r="G10" s="29">
        <v>161.85453246927301</v>
      </c>
      <c r="H10" s="30">
        <v>0.13719529156698826</v>
      </c>
      <c r="I10" s="31">
        <v>134</v>
      </c>
      <c r="J10" s="28">
        <v>645.24368857587001</v>
      </c>
      <c r="K10" s="29">
        <v>112.519875651869</v>
      </c>
      <c r="L10" s="30">
        <v>0.17438353546737331</v>
      </c>
      <c r="M10" s="31">
        <v>11</v>
      </c>
      <c r="N10" s="28">
        <v>1660.5610513280001</v>
      </c>
      <c r="O10" s="29">
        <v>588.61777935880696</v>
      </c>
      <c r="P10" s="30">
        <v>0.35446921923651759</v>
      </c>
      <c r="Q10" s="31">
        <v>376</v>
      </c>
      <c r="R10" s="26"/>
      <c r="S10" s="26"/>
      <c r="T10" s="26"/>
    </row>
    <row r="11" spans="1:20" s="4" customFormat="1" ht="19.5" customHeight="1" x14ac:dyDescent="0.25">
      <c r="A11" s="27" t="s">
        <v>16</v>
      </c>
      <c r="B11" s="28">
        <v>662.354296432301</v>
      </c>
      <c r="C11" s="29">
        <v>95.061715219268507</v>
      </c>
      <c r="D11" s="30">
        <v>0.14352094601228987</v>
      </c>
      <c r="E11" s="31">
        <v>227</v>
      </c>
      <c r="F11" s="28">
        <v>585.35402563186597</v>
      </c>
      <c r="G11" s="29">
        <v>262.17766135122298</v>
      </c>
      <c r="H11" s="30">
        <v>0.44789588842105049</v>
      </c>
      <c r="I11" s="31">
        <v>115</v>
      </c>
      <c r="J11" s="28">
        <v>1666.0053759596699</v>
      </c>
      <c r="K11" s="29">
        <v>735.61093510415799</v>
      </c>
      <c r="L11" s="30">
        <v>0.44154175353751407</v>
      </c>
      <c r="M11" s="31">
        <v>11</v>
      </c>
      <c r="N11" s="28">
        <v>648.94063669397701</v>
      </c>
      <c r="O11" s="29">
        <v>101.81482416814799</v>
      </c>
      <c r="P11" s="30">
        <v>0.15689389508236504</v>
      </c>
      <c r="Q11" s="31">
        <v>353</v>
      </c>
      <c r="R11" s="26"/>
      <c r="S11" s="26"/>
      <c r="T11" s="26"/>
    </row>
    <row r="12" spans="1:20" s="4" customFormat="1" ht="19.5" customHeight="1" x14ac:dyDescent="0.25">
      <c r="A12" s="27" t="s">
        <v>17</v>
      </c>
      <c r="B12" s="28">
        <v>742.58469700959904</v>
      </c>
      <c r="C12" s="29">
        <v>99.731839446490696</v>
      </c>
      <c r="D12" s="30">
        <v>0.1343036556612498</v>
      </c>
      <c r="E12" s="31">
        <v>501</v>
      </c>
      <c r="F12" s="28">
        <v>1087.5541671599899</v>
      </c>
      <c r="G12" s="29">
        <v>174.29159717422201</v>
      </c>
      <c r="H12" s="30">
        <v>0.16026015295345009</v>
      </c>
      <c r="I12" s="31">
        <v>521</v>
      </c>
      <c r="J12" s="28">
        <v>627.843644821775</v>
      </c>
      <c r="K12" s="29">
        <v>124.48240530845599</v>
      </c>
      <c r="L12" s="30">
        <v>0.19826975447651879</v>
      </c>
      <c r="M12" s="31">
        <v>64</v>
      </c>
      <c r="N12" s="28">
        <v>877.74670157954802</v>
      </c>
      <c r="O12" s="29">
        <v>93.318064927797295</v>
      </c>
      <c r="P12" s="30">
        <v>0.10631548345310428</v>
      </c>
      <c r="Q12" s="31">
        <v>1086</v>
      </c>
      <c r="R12" s="26"/>
      <c r="S12" s="26"/>
      <c r="T12" s="26"/>
    </row>
    <row r="13" spans="1:20" s="4" customFormat="1" ht="19.5" customHeight="1" x14ac:dyDescent="0.25">
      <c r="A13" s="27" t="s">
        <v>18</v>
      </c>
      <c r="B13" s="28">
        <v>1267.6361708848599</v>
      </c>
      <c r="C13" s="29">
        <v>438.90497818962501</v>
      </c>
      <c r="D13" s="30">
        <v>0.34623891954996211</v>
      </c>
      <c r="E13" s="31">
        <v>104</v>
      </c>
      <c r="F13" s="28">
        <v>1012.3326907030799</v>
      </c>
      <c r="G13" s="29">
        <v>198.85454801876099</v>
      </c>
      <c r="H13" s="30">
        <v>0.19643201276119374</v>
      </c>
      <c r="I13" s="31">
        <v>126</v>
      </c>
      <c r="J13" s="28">
        <v>1032.10788826725</v>
      </c>
      <c r="K13" s="29">
        <v>187.036607312456</v>
      </c>
      <c r="L13" s="30">
        <v>0.18121807752720659</v>
      </c>
      <c r="M13" s="31">
        <v>14</v>
      </c>
      <c r="N13" s="28">
        <v>1140.2657675816399</v>
      </c>
      <c r="O13" s="29">
        <v>242.03305182259999</v>
      </c>
      <c r="P13" s="30">
        <v>0.2122602104734948</v>
      </c>
      <c r="Q13" s="31">
        <v>244</v>
      </c>
      <c r="R13" s="26"/>
      <c r="S13" s="26"/>
      <c r="T13" s="26"/>
    </row>
    <row r="14" spans="1:20" s="4" customFormat="1" ht="19.5" customHeight="1" x14ac:dyDescent="0.25">
      <c r="A14" s="27" t="s">
        <v>19</v>
      </c>
      <c r="B14" s="32">
        <v>676.54075664748302</v>
      </c>
      <c r="C14" s="33">
        <v>95.613617882105601</v>
      </c>
      <c r="D14" s="30">
        <v>0.14132721043430921</v>
      </c>
      <c r="E14" s="31">
        <v>26</v>
      </c>
      <c r="F14" s="32">
        <v>466.313186950888</v>
      </c>
      <c r="G14" s="33">
        <v>91.1858944076928</v>
      </c>
      <c r="H14" s="30">
        <v>0.19554646310548468</v>
      </c>
      <c r="I14" s="31">
        <v>25</v>
      </c>
      <c r="J14" s="32">
        <v>631.18421554565396</v>
      </c>
      <c r="K14" s="33">
        <v>215.15755459853801</v>
      </c>
      <c r="L14" s="30">
        <v>0.34087917488959374</v>
      </c>
      <c r="M14" s="31">
        <v>1</v>
      </c>
      <c r="N14" s="32">
        <v>517.19131250189605</v>
      </c>
      <c r="O14" s="33">
        <v>78.234214332718906</v>
      </c>
      <c r="P14" s="30">
        <v>0.15126745643553727</v>
      </c>
      <c r="Q14" s="31">
        <v>52</v>
      </c>
      <c r="R14" s="26"/>
      <c r="S14" s="26"/>
      <c r="T14" s="26"/>
    </row>
    <row r="15" spans="1:20" s="4" customFormat="1" ht="19.5" customHeight="1" thickBot="1" x14ac:dyDescent="0.3">
      <c r="A15" s="27" t="s">
        <v>20</v>
      </c>
      <c r="B15" s="32">
        <v>1143.1505782665399</v>
      </c>
      <c r="C15" s="34">
        <v>479.26975388004303</v>
      </c>
      <c r="D15" s="30">
        <v>0.41925338882896951</v>
      </c>
      <c r="E15" s="31">
        <v>15</v>
      </c>
      <c r="F15" s="32">
        <v>635.52310526517601</v>
      </c>
      <c r="G15" s="34">
        <v>52.68434313142</v>
      </c>
      <c r="H15" s="30">
        <v>8.2899178165107196E-2</v>
      </c>
      <c r="I15" s="31">
        <v>9</v>
      </c>
      <c r="J15" s="32">
        <v>210.166473865509</v>
      </c>
      <c r="K15" s="34">
        <v>27.744652750896002</v>
      </c>
      <c r="L15" s="30">
        <v>0.13201274323444437</v>
      </c>
      <c r="M15" s="31">
        <v>1</v>
      </c>
      <c r="N15" s="32">
        <v>912.70936095530806</v>
      </c>
      <c r="O15" s="34">
        <v>322.700746454767</v>
      </c>
      <c r="P15" s="30">
        <v>0.35356353321171691</v>
      </c>
      <c r="Q15" s="31">
        <v>25</v>
      </c>
      <c r="R15" s="26"/>
      <c r="S15" s="26"/>
      <c r="T15" s="26"/>
    </row>
    <row r="16" spans="1:20" s="4" customFormat="1" ht="24.75" customHeight="1" thickTop="1" x14ac:dyDescent="0.25">
      <c r="A16" s="35" t="s">
        <v>4</v>
      </c>
      <c r="B16" s="36">
        <v>985.730570017692</v>
      </c>
      <c r="C16" s="37">
        <v>80.2128565861303</v>
      </c>
      <c r="D16" s="38">
        <v>8.1374017430230081E-2</v>
      </c>
      <c r="E16" s="39">
        <v>3064</v>
      </c>
      <c r="F16" s="36">
        <v>930.68713686437195</v>
      </c>
      <c r="G16" s="37">
        <v>86.557617717813798</v>
      </c>
      <c r="H16" s="38">
        <v>9.3003990588544846E-2</v>
      </c>
      <c r="I16" s="39">
        <v>1824</v>
      </c>
      <c r="J16" s="36">
        <v>699.86265574174297</v>
      </c>
      <c r="K16" s="37">
        <v>84.529782710882401</v>
      </c>
      <c r="L16" s="38">
        <v>0.12078053031890135</v>
      </c>
      <c r="M16" s="39">
        <v>215</v>
      </c>
      <c r="N16" s="36">
        <v>953.55963897582501</v>
      </c>
      <c r="O16" s="37">
        <v>58.113885652475503</v>
      </c>
      <c r="P16" s="38">
        <v>6.0944154174659683E-2</v>
      </c>
      <c r="Q16" s="39">
        <v>5103</v>
      </c>
    </row>
    <row r="18" spans="1:20" s="4" customFormat="1" ht="50.25" customHeight="1" x14ac:dyDescent="0.25">
      <c r="A18" s="5" t="s">
        <v>52</v>
      </c>
      <c r="B18" s="17" t="s">
        <v>53</v>
      </c>
      <c r="C18" s="18" t="s">
        <v>36</v>
      </c>
      <c r="D18" s="18" t="s">
        <v>8</v>
      </c>
      <c r="E18" s="19" t="s">
        <v>9</v>
      </c>
      <c r="F18" s="17" t="s">
        <v>53</v>
      </c>
      <c r="G18" s="18" t="s">
        <v>37</v>
      </c>
      <c r="H18" s="18" t="s">
        <v>8</v>
      </c>
      <c r="I18" s="19" t="s">
        <v>9</v>
      </c>
      <c r="J18" s="17" t="s">
        <v>53</v>
      </c>
      <c r="K18" s="18" t="s">
        <v>37</v>
      </c>
      <c r="L18" s="18" t="s">
        <v>8</v>
      </c>
      <c r="M18" s="20" t="s">
        <v>9</v>
      </c>
      <c r="N18" s="17" t="s">
        <v>53</v>
      </c>
      <c r="O18" s="18" t="s">
        <v>37</v>
      </c>
      <c r="P18" s="18" t="s">
        <v>8</v>
      </c>
      <c r="Q18" s="19" t="s">
        <v>9</v>
      </c>
    </row>
    <row r="19" spans="1:20" s="4" customFormat="1" ht="19.5" customHeight="1" x14ac:dyDescent="0.25">
      <c r="A19" s="50" t="s">
        <v>22</v>
      </c>
      <c r="B19" s="32">
        <v>1108.0871447166001</v>
      </c>
      <c r="C19" s="33">
        <v>106.019879832074</v>
      </c>
      <c r="D19" s="24">
        <v>9.5678286980929839E-2</v>
      </c>
      <c r="E19" s="25">
        <v>2522</v>
      </c>
      <c r="F19" s="32">
        <v>893.50899572256196</v>
      </c>
      <c r="G19" s="33">
        <v>105.138054196388</v>
      </c>
      <c r="H19" s="24">
        <v>0.11766871368918347</v>
      </c>
      <c r="I19" s="25">
        <v>1269</v>
      </c>
      <c r="J19" s="32">
        <v>763.88238528931595</v>
      </c>
      <c r="K19" s="33">
        <v>118.852973713236</v>
      </c>
      <c r="L19" s="24">
        <v>0.15559067207476074</v>
      </c>
      <c r="M19" s="25">
        <v>149</v>
      </c>
      <c r="N19" s="32">
        <v>1020.53154956584</v>
      </c>
      <c r="O19" s="33">
        <v>76.5853894913038</v>
      </c>
      <c r="P19" s="24">
        <v>7.5044607414523512E-2</v>
      </c>
      <c r="Q19" s="25">
        <v>3940</v>
      </c>
      <c r="R19" s="26"/>
      <c r="S19" s="26"/>
      <c r="T19" s="26"/>
    </row>
    <row r="20" spans="1:20" s="4" customFormat="1" ht="19.5" customHeight="1" thickBot="1" x14ac:dyDescent="0.3">
      <c r="A20" s="51" t="s">
        <v>23</v>
      </c>
      <c r="B20" s="32">
        <v>753.35565051892195</v>
      </c>
      <c r="C20" s="34">
        <v>94.430472108158</v>
      </c>
      <c r="D20" s="30">
        <v>0.12534647087748391</v>
      </c>
      <c r="E20" s="31">
        <v>542</v>
      </c>
      <c r="F20" s="32">
        <v>978.48341426208594</v>
      </c>
      <c r="G20" s="34">
        <v>142.25552240495301</v>
      </c>
      <c r="H20" s="30">
        <v>0.14538368288258996</v>
      </c>
      <c r="I20" s="31">
        <v>555</v>
      </c>
      <c r="J20" s="32">
        <v>608.41838849600504</v>
      </c>
      <c r="K20" s="34">
        <v>115.67280358877601</v>
      </c>
      <c r="L20" s="30">
        <v>0.19012049237156731</v>
      </c>
      <c r="M20" s="31">
        <v>66</v>
      </c>
      <c r="N20" s="32">
        <v>845.63983231405496</v>
      </c>
      <c r="O20" s="34">
        <v>82.590235795520002</v>
      </c>
      <c r="P20" s="30">
        <v>9.7665971539580357E-2</v>
      </c>
      <c r="Q20" s="31">
        <v>1163</v>
      </c>
      <c r="R20" s="26"/>
      <c r="S20" s="26"/>
      <c r="T20" s="26"/>
    </row>
    <row r="21" spans="1:20" s="4" customFormat="1" ht="24.75" customHeight="1" thickTop="1" x14ac:dyDescent="0.25">
      <c r="A21" s="35" t="s">
        <v>4</v>
      </c>
      <c r="B21" s="36">
        <v>985.730570017692</v>
      </c>
      <c r="C21" s="37">
        <v>80.2128565861303</v>
      </c>
      <c r="D21" s="38">
        <v>8.1374017430230081E-2</v>
      </c>
      <c r="E21" s="39">
        <v>3064</v>
      </c>
      <c r="F21" s="36">
        <v>930.68713686437195</v>
      </c>
      <c r="G21" s="37">
        <v>86.557617717813798</v>
      </c>
      <c r="H21" s="38">
        <v>9.3003990588544846E-2</v>
      </c>
      <c r="I21" s="39">
        <v>1824</v>
      </c>
      <c r="J21" s="36">
        <v>699.86265574174297</v>
      </c>
      <c r="K21" s="37">
        <v>84.529782710882401</v>
      </c>
      <c r="L21" s="38">
        <v>0.12078053031890135</v>
      </c>
      <c r="M21" s="39">
        <v>215</v>
      </c>
      <c r="N21" s="36">
        <v>953.55963897582501</v>
      </c>
      <c r="O21" s="37">
        <v>58.113885652475503</v>
      </c>
      <c r="P21" s="38">
        <v>6.0944154174659683E-2</v>
      </c>
      <c r="Q21" s="39">
        <v>5103</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54</v>
      </c>
      <c r="B23" s="44" t="s">
        <v>26</v>
      </c>
      <c r="C23" s="4" t="s">
        <v>40</v>
      </c>
    </row>
    <row r="24" spans="1:20" s="4" customFormat="1" x14ac:dyDescent="0.25">
      <c r="A24" s="40"/>
      <c r="B24" s="45" t="s">
        <v>26</v>
      </c>
      <c r="C24" s="4" t="s">
        <v>29</v>
      </c>
    </row>
    <row r="25" spans="1:20" x14ac:dyDescent="0.25">
      <c r="A25" s="154" t="s">
        <v>240</v>
      </c>
    </row>
  </sheetData>
  <conditionalFormatting sqref="M5:M16">
    <cfRule type="expression" dxfId="813" priority="56">
      <formula>M5&lt;=1</formula>
    </cfRule>
  </conditionalFormatting>
  <conditionalFormatting sqref="J5:J16">
    <cfRule type="expression" dxfId="812" priority="50">
      <formula>OR(L5&gt;=0.5,M5&lt;=5)</formula>
    </cfRule>
    <cfRule type="expression" dxfId="811" priority="53">
      <formula>M5&lt;=1</formula>
    </cfRule>
  </conditionalFormatting>
  <conditionalFormatting sqref="K5:K16">
    <cfRule type="expression" dxfId="810" priority="51">
      <formula>OR(L5&gt;=0.5,M5&lt;=5)</formula>
    </cfRule>
    <cfRule type="expression" dxfId="809" priority="54">
      <formula>M5&lt;=1</formula>
    </cfRule>
  </conditionalFormatting>
  <conditionalFormatting sqref="L5:L16">
    <cfRule type="expression" dxfId="808" priority="52">
      <formula>OR(L5&gt;=0.5,M5&lt;=5)</formula>
    </cfRule>
    <cfRule type="expression" dxfId="807" priority="55">
      <formula>M5&lt;=1</formula>
    </cfRule>
  </conditionalFormatting>
  <conditionalFormatting sqref="Q5:Q16">
    <cfRule type="expression" dxfId="806" priority="49">
      <formula>Q5&lt;=1</formula>
    </cfRule>
  </conditionalFormatting>
  <conditionalFormatting sqref="N5:N16">
    <cfRule type="expression" dxfId="805" priority="43">
      <formula>OR(P5&gt;=0.5,Q5&lt;=5)</formula>
    </cfRule>
    <cfRule type="expression" dxfId="804" priority="46">
      <formula>Q5&lt;=1</formula>
    </cfRule>
  </conditionalFormatting>
  <conditionalFormatting sqref="O5:O16">
    <cfRule type="expression" dxfId="803" priority="44">
      <formula>OR(P5&gt;=0.5,Q5&lt;=5)</formula>
    </cfRule>
    <cfRule type="expression" dxfId="802" priority="47">
      <formula>Q5&lt;=1</formula>
    </cfRule>
  </conditionalFormatting>
  <conditionalFormatting sqref="P5:P16">
    <cfRule type="expression" dxfId="801" priority="45">
      <formula>OR(P5&gt;=0.5,Q5&lt;=5)</formula>
    </cfRule>
    <cfRule type="expression" dxfId="800" priority="48">
      <formula>Q5&lt;=1</formula>
    </cfRule>
  </conditionalFormatting>
  <conditionalFormatting sqref="E5:E16">
    <cfRule type="expression" dxfId="799" priority="42">
      <formula>E5&lt;=1</formula>
    </cfRule>
  </conditionalFormatting>
  <conditionalFormatting sqref="B5:B16">
    <cfRule type="expression" dxfId="798" priority="36">
      <formula>OR(D5&gt;=0.5,E5&lt;=5)</formula>
    </cfRule>
    <cfRule type="expression" dxfId="797" priority="39">
      <formula>E5&lt;=1</formula>
    </cfRule>
  </conditionalFormatting>
  <conditionalFormatting sqref="C5:C16">
    <cfRule type="expression" dxfId="796" priority="37">
      <formula>OR(D5&gt;=0.5,E5&lt;=5)</formula>
    </cfRule>
    <cfRule type="expression" dxfId="795" priority="40">
      <formula>E5&lt;=1</formula>
    </cfRule>
  </conditionalFormatting>
  <conditionalFormatting sqref="D5:D16">
    <cfRule type="expression" dxfId="794" priority="38">
      <formula>OR(D5&gt;=0.5,E5&lt;=5)</formula>
    </cfRule>
    <cfRule type="expression" dxfId="793" priority="41">
      <formula>E5&lt;=1</formula>
    </cfRule>
  </conditionalFormatting>
  <conditionalFormatting sqref="I5:I16">
    <cfRule type="expression" dxfId="792" priority="35">
      <formula>I5&lt;=1</formula>
    </cfRule>
  </conditionalFormatting>
  <conditionalFormatting sqref="F5:F16">
    <cfRule type="expression" dxfId="791" priority="29">
      <formula>OR(H5&gt;=0.5,I5&lt;=5)</formula>
    </cfRule>
    <cfRule type="expression" dxfId="790" priority="32">
      <formula>I5&lt;=1</formula>
    </cfRule>
  </conditionalFormatting>
  <conditionalFormatting sqref="G5:G16">
    <cfRule type="expression" dxfId="789" priority="30">
      <formula>OR(H5&gt;=0.5,I5&lt;=5)</formula>
    </cfRule>
    <cfRule type="expression" dxfId="788" priority="33">
      <formula>I5&lt;=1</formula>
    </cfRule>
  </conditionalFormatting>
  <conditionalFormatting sqref="H5:H16">
    <cfRule type="expression" dxfId="787" priority="31">
      <formula>OR(H5&gt;=0.5,I5&lt;=5)</formula>
    </cfRule>
    <cfRule type="expression" dxfId="786" priority="34">
      <formula>I5&lt;=1</formula>
    </cfRule>
  </conditionalFormatting>
  <conditionalFormatting sqref="E19:E21">
    <cfRule type="expression" dxfId="785" priority="26">
      <formula>E19&lt;=1</formula>
    </cfRule>
  </conditionalFormatting>
  <conditionalFormatting sqref="B19:B21">
    <cfRule type="expression" dxfId="784" priority="22">
      <formula>OR(D19&gt;=0.5,E19&lt;=5)</formula>
    </cfRule>
    <cfRule type="expression" dxfId="783" priority="24">
      <formula>E19&lt;=1</formula>
    </cfRule>
  </conditionalFormatting>
  <conditionalFormatting sqref="C19:C21">
    <cfRule type="expression" dxfId="782" priority="23">
      <formula>OR(D19&gt;=0.5,E19&lt;=5)</formula>
    </cfRule>
    <cfRule type="expression" dxfId="781" priority="25">
      <formula>E19&lt;=1</formula>
    </cfRule>
  </conditionalFormatting>
  <conditionalFormatting sqref="D19:D21">
    <cfRule type="expression" dxfId="780" priority="27">
      <formula>OR(D19&gt;=0.5,E19&lt;=5)</formula>
    </cfRule>
    <cfRule type="expression" dxfId="779" priority="28">
      <formula>E19&lt;=1</formula>
    </cfRule>
  </conditionalFormatting>
  <conditionalFormatting sqref="I19:I21">
    <cfRule type="expression" dxfId="778" priority="19">
      <formula>I19&lt;=1</formula>
    </cfRule>
  </conditionalFormatting>
  <conditionalFormatting sqref="F19:F21">
    <cfRule type="expression" dxfId="777" priority="15">
      <formula>OR(H19&gt;=0.5,I19&lt;=5)</formula>
    </cfRule>
    <cfRule type="expression" dxfId="776" priority="17">
      <formula>I19&lt;=1</formula>
    </cfRule>
  </conditionalFormatting>
  <conditionalFormatting sqref="G19:G21">
    <cfRule type="expression" dxfId="775" priority="16">
      <formula>OR(H19&gt;=0.5,I19&lt;=5)</formula>
    </cfRule>
    <cfRule type="expression" dxfId="774" priority="18">
      <formula>I19&lt;=1</formula>
    </cfRule>
  </conditionalFormatting>
  <conditionalFormatting sqref="H19:H21">
    <cfRule type="expression" dxfId="773" priority="20">
      <formula>OR(H19&gt;=0.5,I19&lt;=5)</formula>
    </cfRule>
    <cfRule type="expression" dxfId="772" priority="21">
      <formula>I19&lt;=1</formula>
    </cfRule>
  </conditionalFormatting>
  <conditionalFormatting sqref="M19:M21">
    <cfRule type="expression" dxfId="771" priority="12">
      <formula>M19&lt;=1</formula>
    </cfRule>
  </conditionalFormatting>
  <conditionalFormatting sqref="J19:J21">
    <cfRule type="expression" dxfId="770" priority="8">
      <formula>OR(L19&gt;=0.5,M19&lt;=5)</formula>
    </cfRule>
    <cfRule type="expression" dxfId="769" priority="10">
      <formula>M19&lt;=1</formula>
    </cfRule>
  </conditionalFormatting>
  <conditionalFormatting sqref="K19:K21">
    <cfRule type="expression" dxfId="768" priority="9">
      <formula>OR(L19&gt;=0.5,M19&lt;=5)</formula>
    </cfRule>
    <cfRule type="expression" dxfId="767" priority="11">
      <formula>M19&lt;=1</formula>
    </cfRule>
  </conditionalFormatting>
  <conditionalFormatting sqref="L19:L21">
    <cfRule type="expression" dxfId="766" priority="13">
      <formula>OR(L19&gt;=0.5,M19&lt;=5)</formula>
    </cfRule>
    <cfRule type="expression" dxfId="765" priority="14">
      <formula>M19&lt;=1</formula>
    </cfRule>
  </conditionalFormatting>
  <conditionalFormatting sqref="Q19:Q21">
    <cfRule type="expression" dxfId="764" priority="5">
      <formula>Q19&lt;=1</formula>
    </cfRule>
  </conditionalFormatting>
  <conditionalFormatting sqref="N19:N21">
    <cfRule type="expression" dxfId="763" priority="1">
      <formula>OR(P19&gt;=0.5,Q19&lt;=5)</formula>
    </cfRule>
    <cfRule type="expression" dxfId="762" priority="3">
      <formula>Q19&lt;=1</formula>
    </cfRule>
  </conditionalFormatting>
  <conditionalFormatting sqref="O19:O21">
    <cfRule type="expression" dxfId="761" priority="2">
      <formula>OR(P19&gt;=0.5,Q19&lt;=5)</formula>
    </cfRule>
    <cfRule type="expression" dxfId="760" priority="4">
      <formula>Q19&lt;=1</formula>
    </cfRule>
  </conditionalFormatting>
  <conditionalFormatting sqref="P19:P21">
    <cfRule type="expression" dxfId="759" priority="6">
      <formula>OR(P19&gt;=0.5,Q19&lt;=5)</formula>
    </cfRule>
    <cfRule type="expression" dxfId="758" priority="7">
      <formula>Q19&lt;=1</formula>
    </cfRule>
  </conditionalFormatting>
  <hyperlinks>
    <hyperlink ref="A25" location="Überblick!A1" display="zurück zur Übersicht" xr:uid="{E31A58E5-C59B-48B9-BFE8-5C1B401E71DE}"/>
  </hyperlink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63263-CC0A-4662-AF67-C40FF93FA4D8}">
  <sheetPr codeName="Tabelle6"/>
  <dimension ref="A1:T29"/>
  <sheetViews>
    <sheetView showGridLines="0" zoomScaleNormal="100" workbookViewId="0">
      <pane xSplit="1" ySplit="4" topLeftCell="B8"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"1.3.4. "&amp;A2&amp;" ("&amp;A3&amp;") für alle GEG-relevanten Nichtwohngebäude nach Gebäude-Hauptfunktion und grober Gebäude-Baualtersklasse (Breitenerhebung)"</f>
        <v>1.3.4. Mittlere Außenwandfläche (aw_fl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2" t="s">
        <v>55</v>
      </c>
      <c r="B2" s="6" t="s">
        <v>0</v>
      </c>
      <c r="C2" s="7"/>
      <c r="D2" s="7"/>
      <c r="E2" s="7"/>
      <c r="F2" s="7"/>
      <c r="G2" s="7"/>
      <c r="H2" s="7"/>
      <c r="I2" s="7"/>
      <c r="J2" s="7"/>
      <c r="K2" s="7"/>
      <c r="L2" s="7"/>
      <c r="M2" s="8"/>
      <c r="N2" s="9"/>
      <c r="O2" s="9"/>
      <c r="P2" s="7"/>
      <c r="Q2" s="10"/>
    </row>
    <row r="3" spans="1:20" ht="50.25" customHeight="1" x14ac:dyDescent="0.25">
      <c r="A3" s="52" t="s">
        <v>64</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"&amp;$A$3&amp;" in m2"</f>
        <v>Mittlere aw_fl [m²] in m2</v>
      </c>
      <c r="C4" s="18" t="s">
        <v>56</v>
      </c>
      <c r="D4" s="18" t="s">
        <v>8</v>
      </c>
      <c r="E4" s="19" t="s">
        <v>9</v>
      </c>
      <c r="F4" s="17" t="str">
        <f>"Mittlere "&amp;$A$3&amp;" in m2"</f>
        <v>Mittlere aw_fl [m²] in m2</v>
      </c>
      <c r="G4" s="18" t="s">
        <v>57</v>
      </c>
      <c r="H4" s="18" t="s">
        <v>8</v>
      </c>
      <c r="I4" s="19" t="s">
        <v>9</v>
      </c>
      <c r="J4" s="17" t="str">
        <f>"Mittlere "&amp;$A$3&amp;" in m2"</f>
        <v>Mittlere aw_fl [m²] in m2</v>
      </c>
      <c r="K4" s="18" t="s">
        <v>57</v>
      </c>
      <c r="L4" s="18" t="s">
        <v>8</v>
      </c>
      <c r="M4" s="20" t="s">
        <v>9</v>
      </c>
      <c r="N4" s="17" t="str">
        <f>"Mittlere "&amp;$A$3&amp;" in m2"</f>
        <v>Mittlere aw_fl [m²] in m2</v>
      </c>
      <c r="O4" s="18" t="s">
        <v>57</v>
      </c>
      <c r="P4" s="18" t="s">
        <v>8</v>
      </c>
      <c r="Q4" s="19" t="s">
        <v>9</v>
      </c>
    </row>
    <row r="5" spans="1:20" ht="19.5" customHeight="1" x14ac:dyDescent="0.25">
      <c r="A5" s="21" t="s">
        <v>10</v>
      </c>
      <c r="B5" s="53">
        <v>705.80913401262501</v>
      </c>
      <c r="C5" s="54">
        <v>111.35343459504701</v>
      </c>
      <c r="D5" s="24">
        <v>0.15776706368474852</v>
      </c>
      <c r="E5" s="25">
        <v>618</v>
      </c>
      <c r="F5" s="53">
        <v>442.95308740141797</v>
      </c>
      <c r="G5" s="54">
        <v>87.837037561870801</v>
      </c>
      <c r="H5" s="24">
        <v>0.19829873650315055</v>
      </c>
      <c r="I5" s="25">
        <v>346</v>
      </c>
      <c r="J5" s="53">
        <v>459.97405652600798</v>
      </c>
      <c r="K5" s="54">
        <v>42.822650563425</v>
      </c>
      <c r="L5" s="24">
        <v>9.3097969235149042E-2</v>
      </c>
      <c r="M5" s="25">
        <v>30</v>
      </c>
      <c r="N5" s="53">
        <v>605.45602037681897</v>
      </c>
      <c r="O5" s="54">
        <v>78.757646551467602</v>
      </c>
      <c r="P5" s="24">
        <v>0.13007988012482069</v>
      </c>
      <c r="Q5" s="25">
        <v>994</v>
      </c>
      <c r="R5" s="26"/>
      <c r="S5" s="26"/>
      <c r="T5" s="26"/>
    </row>
    <row r="6" spans="1:20" ht="19.5" customHeight="1" x14ac:dyDescent="0.25">
      <c r="A6" s="27" t="s">
        <v>11</v>
      </c>
      <c r="B6" s="55">
        <v>1135.62632809505</v>
      </c>
      <c r="C6" s="56">
        <v>400.47362760744602</v>
      </c>
      <c r="D6" s="30">
        <v>0.35264559978916504</v>
      </c>
      <c r="E6" s="31">
        <v>60</v>
      </c>
      <c r="F6" s="55">
        <v>764.557451532659</v>
      </c>
      <c r="G6" s="56">
        <v>403.37688268079</v>
      </c>
      <c r="H6" s="30">
        <v>0.52759525379311445</v>
      </c>
      <c r="I6" s="31">
        <v>50</v>
      </c>
      <c r="J6" s="55">
        <v>408.70971747385801</v>
      </c>
      <c r="K6" s="56">
        <v>92.419720753162807</v>
      </c>
      <c r="L6" s="30">
        <v>0.22612557715629597</v>
      </c>
      <c r="M6" s="31">
        <v>16</v>
      </c>
      <c r="N6" s="55">
        <v>904.68725256922505</v>
      </c>
      <c r="O6" s="56">
        <v>234.055222931099</v>
      </c>
      <c r="P6" s="30">
        <v>0.25871396138986663</v>
      </c>
      <c r="Q6" s="31">
        <v>126</v>
      </c>
      <c r="R6" s="26"/>
      <c r="S6" s="26"/>
      <c r="T6" s="26"/>
    </row>
    <row r="7" spans="1:20" ht="19.5" customHeight="1" x14ac:dyDescent="0.25">
      <c r="A7" s="27" t="s">
        <v>12</v>
      </c>
      <c r="B7" s="55">
        <v>1418.20193483152</v>
      </c>
      <c r="C7" s="56">
        <v>261.49745627138799</v>
      </c>
      <c r="D7" s="30">
        <v>0.1843866164958049</v>
      </c>
      <c r="E7" s="31">
        <v>110</v>
      </c>
      <c r="F7" s="55">
        <v>685.99842321034203</v>
      </c>
      <c r="G7" s="56">
        <v>148.46242216542399</v>
      </c>
      <c r="H7" s="30">
        <v>0.21641802246519476</v>
      </c>
      <c r="I7" s="31">
        <v>68</v>
      </c>
      <c r="J7" s="55">
        <v>723.72546583937697</v>
      </c>
      <c r="K7" s="56">
        <v>200.18382464624</v>
      </c>
      <c r="L7" s="30">
        <v>0.27660188026417826</v>
      </c>
      <c r="M7" s="31">
        <v>11</v>
      </c>
      <c r="N7" s="55">
        <v>976.25339936470004</v>
      </c>
      <c r="O7" s="56">
        <v>154.23606307024201</v>
      </c>
      <c r="P7" s="30">
        <v>0.15798773471171687</v>
      </c>
      <c r="Q7" s="31">
        <v>189</v>
      </c>
      <c r="R7" s="26"/>
      <c r="S7" s="26"/>
      <c r="T7" s="26"/>
    </row>
    <row r="8" spans="1:20" ht="19.5" customHeight="1" x14ac:dyDescent="0.25">
      <c r="A8" s="27" t="s">
        <v>13</v>
      </c>
      <c r="B8" s="55">
        <v>748.54968597426102</v>
      </c>
      <c r="C8" s="56">
        <v>56.441937804283398</v>
      </c>
      <c r="D8" s="30">
        <v>7.5401725312091258E-2</v>
      </c>
      <c r="E8" s="31">
        <v>788</v>
      </c>
      <c r="F8" s="55">
        <v>384.69839808954401</v>
      </c>
      <c r="G8" s="56">
        <v>114.743412490067</v>
      </c>
      <c r="H8" s="30">
        <v>0.29826849568362079</v>
      </c>
      <c r="I8" s="31">
        <v>285</v>
      </c>
      <c r="J8" s="55">
        <v>310.14605922729299</v>
      </c>
      <c r="K8" s="56">
        <v>122.39766100260201</v>
      </c>
      <c r="L8" s="30">
        <v>0.39464522395527818</v>
      </c>
      <c r="M8" s="31">
        <v>33</v>
      </c>
      <c r="N8" s="55">
        <v>584.66222045892198</v>
      </c>
      <c r="O8" s="56">
        <v>87.480651905920297</v>
      </c>
      <c r="P8" s="30">
        <v>0.14962597008107287</v>
      </c>
      <c r="Q8" s="31">
        <v>1106</v>
      </c>
      <c r="R8" s="26"/>
      <c r="S8" s="26"/>
      <c r="T8" s="26"/>
    </row>
    <row r="9" spans="1:20" ht="19.5" customHeight="1" x14ac:dyDescent="0.25">
      <c r="A9" s="27" t="s">
        <v>14</v>
      </c>
      <c r="B9" s="55">
        <v>459.64524614314598</v>
      </c>
      <c r="C9" s="56">
        <v>43.666216756709098</v>
      </c>
      <c r="D9" s="30">
        <v>9.499982241328403E-2</v>
      </c>
      <c r="E9" s="31">
        <v>342</v>
      </c>
      <c r="F9" s="55">
        <v>496.07124712109601</v>
      </c>
      <c r="G9" s="56">
        <v>143.748583720482</v>
      </c>
      <c r="H9" s="30">
        <v>0.2897740688554592</v>
      </c>
      <c r="I9" s="31">
        <v>128</v>
      </c>
      <c r="J9" s="55">
        <v>172.41450401188999</v>
      </c>
      <c r="K9" s="56">
        <v>47.258929354334697</v>
      </c>
      <c r="L9" s="30">
        <v>0.27410066006439715</v>
      </c>
      <c r="M9" s="31">
        <v>18</v>
      </c>
      <c r="N9" s="55">
        <v>454.25946790030503</v>
      </c>
      <c r="O9" s="56">
        <v>52.796470155801103</v>
      </c>
      <c r="P9" s="30">
        <v>0.11622535992444782</v>
      </c>
      <c r="Q9" s="31">
        <v>488</v>
      </c>
      <c r="R9" s="26"/>
      <c r="S9" s="26"/>
      <c r="T9" s="26"/>
    </row>
    <row r="10" spans="1:20" ht="19.5" customHeight="1" x14ac:dyDescent="0.25">
      <c r="A10" s="27" t="s">
        <v>15</v>
      </c>
      <c r="B10" s="55">
        <v>849.37452711233902</v>
      </c>
      <c r="C10" s="56">
        <v>169.041467597229</v>
      </c>
      <c r="D10" s="30">
        <v>0.19901876286769243</v>
      </c>
      <c r="E10" s="31">
        <v>226</v>
      </c>
      <c r="F10" s="55">
        <v>773.54939749406401</v>
      </c>
      <c r="G10" s="56">
        <v>112.097186426202</v>
      </c>
      <c r="H10" s="30">
        <v>0.14491277065090366</v>
      </c>
      <c r="I10" s="31">
        <v>133</v>
      </c>
      <c r="J10" s="55">
        <v>562.80051739410305</v>
      </c>
      <c r="K10" s="56">
        <v>86.466285600828797</v>
      </c>
      <c r="L10" s="30">
        <v>0.15363576067980136</v>
      </c>
      <c r="M10" s="31">
        <v>11</v>
      </c>
      <c r="N10" s="55">
        <v>809.90723130778997</v>
      </c>
      <c r="O10" s="56">
        <v>115.907072461841</v>
      </c>
      <c r="P10" s="30">
        <v>0.14311154164493772</v>
      </c>
      <c r="Q10" s="31">
        <v>370</v>
      </c>
      <c r="R10" s="26"/>
      <c r="S10" s="26"/>
      <c r="T10" s="26"/>
    </row>
    <row r="11" spans="1:20" ht="19.5" customHeight="1" x14ac:dyDescent="0.25">
      <c r="A11" s="27" t="s">
        <v>16</v>
      </c>
      <c r="B11" s="55">
        <v>437.18734733885202</v>
      </c>
      <c r="C11" s="56">
        <v>61.169249799685304</v>
      </c>
      <c r="D11" s="30">
        <v>0.13991541651884698</v>
      </c>
      <c r="E11" s="31">
        <v>219</v>
      </c>
      <c r="F11" s="55">
        <v>344.73292850864999</v>
      </c>
      <c r="G11" s="56">
        <v>158.86390568125799</v>
      </c>
      <c r="H11" s="30">
        <v>0.46083182818803975</v>
      </c>
      <c r="I11" s="31">
        <v>113</v>
      </c>
      <c r="J11" s="55">
        <v>1033.2381949012399</v>
      </c>
      <c r="K11" s="56">
        <v>385.96980113561301</v>
      </c>
      <c r="L11" s="30">
        <v>0.37355355525983552</v>
      </c>
      <c r="M11" s="31">
        <v>11</v>
      </c>
      <c r="N11" s="55">
        <v>417.74068735757999</v>
      </c>
      <c r="O11" s="56">
        <v>66.370082741226099</v>
      </c>
      <c r="P11" s="30">
        <v>0.15887866504230236</v>
      </c>
      <c r="Q11" s="31">
        <v>343</v>
      </c>
      <c r="R11" s="26"/>
      <c r="S11" s="26"/>
      <c r="T11" s="26"/>
    </row>
    <row r="12" spans="1:20" ht="19.5" customHeight="1" x14ac:dyDescent="0.25">
      <c r="A12" s="27" t="s">
        <v>17</v>
      </c>
      <c r="B12" s="55">
        <v>522.53983404181201</v>
      </c>
      <c r="C12" s="56">
        <v>64.782627502125905</v>
      </c>
      <c r="D12" s="30">
        <v>0.12397643831482941</v>
      </c>
      <c r="E12" s="31">
        <v>485</v>
      </c>
      <c r="F12" s="55">
        <v>750.03633468811699</v>
      </c>
      <c r="G12" s="56">
        <v>121.892614730121</v>
      </c>
      <c r="H12" s="30">
        <v>0.16251561303467632</v>
      </c>
      <c r="I12" s="31">
        <v>513</v>
      </c>
      <c r="J12" s="55">
        <v>502.16926221795302</v>
      </c>
      <c r="K12" s="56">
        <v>95.445579506902305</v>
      </c>
      <c r="L12" s="30">
        <v>0.19006655063940717</v>
      </c>
      <c r="M12" s="31">
        <v>63</v>
      </c>
      <c r="N12" s="55">
        <v>613.94529203787897</v>
      </c>
      <c r="O12" s="56">
        <v>63.134793108821498</v>
      </c>
      <c r="P12" s="30">
        <v>0.10283455859602264</v>
      </c>
      <c r="Q12" s="31">
        <v>1061</v>
      </c>
      <c r="R12" s="26"/>
      <c r="S12" s="26"/>
      <c r="T12" s="26"/>
    </row>
    <row r="13" spans="1:20" ht="19.5" customHeight="1" x14ac:dyDescent="0.25">
      <c r="A13" s="27" t="s">
        <v>18</v>
      </c>
      <c r="B13" s="55">
        <v>1100.2159209052099</v>
      </c>
      <c r="C13" s="56">
        <v>460.71264744913299</v>
      </c>
      <c r="D13" s="30">
        <v>0.41874748283053259</v>
      </c>
      <c r="E13" s="31">
        <v>95</v>
      </c>
      <c r="F13" s="55">
        <v>737.56930137957397</v>
      </c>
      <c r="G13" s="56">
        <v>154.861882302943</v>
      </c>
      <c r="H13" s="30">
        <v>0.2099624835432877</v>
      </c>
      <c r="I13" s="31">
        <v>121</v>
      </c>
      <c r="J13" s="55">
        <v>538.49185717280295</v>
      </c>
      <c r="K13" s="56">
        <v>88.198074394052398</v>
      </c>
      <c r="L13" s="30">
        <v>0.16378720164332863</v>
      </c>
      <c r="M13" s="31">
        <v>13</v>
      </c>
      <c r="N13" s="55">
        <v>896.43453772558098</v>
      </c>
      <c r="O13" s="56">
        <v>229.76158920213601</v>
      </c>
      <c r="P13" s="30">
        <v>0.2563060430325268</v>
      </c>
      <c r="Q13" s="31">
        <v>229</v>
      </c>
      <c r="R13" s="26"/>
      <c r="S13" s="26"/>
      <c r="T13" s="26"/>
    </row>
    <row r="14" spans="1:20" ht="19.5" customHeight="1" x14ac:dyDescent="0.25">
      <c r="A14" s="27" t="s">
        <v>19</v>
      </c>
      <c r="B14" s="57">
        <v>481.94088063555398</v>
      </c>
      <c r="C14" s="58">
        <v>87.6332906666171</v>
      </c>
      <c r="D14" s="30">
        <v>0.18183410909456718</v>
      </c>
      <c r="E14" s="31">
        <v>25</v>
      </c>
      <c r="F14" s="57">
        <v>392.86803411623401</v>
      </c>
      <c r="G14" s="58">
        <v>85.675854508213703</v>
      </c>
      <c r="H14" s="30">
        <v>0.21807794747399994</v>
      </c>
      <c r="I14" s="31">
        <v>24</v>
      </c>
      <c r="J14" s="57">
        <v>568.06579999999997</v>
      </c>
      <c r="K14" s="58">
        <v>193.64180118699699</v>
      </c>
      <c r="L14" s="30">
        <v>0.34087917488959379</v>
      </c>
      <c r="M14" s="31">
        <v>1</v>
      </c>
      <c r="N14" s="57">
        <v>414.22462949301502</v>
      </c>
      <c r="O14" s="58">
        <v>69.170620016429694</v>
      </c>
      <c r="P14" s="30">
        <v>0.16698818730573842</v>
      </c>
      <c r="Q14" s="31">
        <v>50</v>
      </c>
      <c r="R14" s="26"/>
      <c r="S14" s="26"/>
      <c r="T14" s="26"/>
    </row>
    <row r="15" spans="1:20" ht="19.5" customHeight="1" thickBot="1" x14ac:dyDescent="0.3">
      <c r="A15" s="27" t="s">
        <v>20</v>
      </c>
      <c r="B15" s="57">
        <v>625.72539385391406</v>
      </c>
      <c r="C15" s="59">
        <v>225.625782942858</v>
      </c>
      <c r="D15" s="30">
        <v>0.36058274949207841</v>
      </c>
      <c r="E15" s="31">
        <v>15</v>
      </c>
      <c r="F15" s="57">
        <v>595.97646444479403</v>
      </c>
      <c r="G15" s="59">
        <v>37.7125861841402</v>
      </c>
      <c r="H15" s="30">
        <v>6.3278650138093764E-2</v>
      </c>
      <c r="I15" s="31">
        <v>9</v>
      </c>
      <c r="J15" s="57">
        <v>189.1498</v>
      </c>
      <c r="K15" s="59">
        <v>24.970183980247299</v>
      </c>
      <c r="L15" s="30">
        <v>0.13201274323444856</v>
      </c>
      <c r="M15" s="31">
        <v>1</v>
      </c>
      <c r="N15" s="57">
        <v>586.87260951915596</v>
      </c>
      <c r="O15" s="59">
        <v>135.994048222169</v>
      </c>
      <c r="P15" s="30">
        <v>0.23172669164709084</v>
      </c>
      <c r="Q15" s="31">
        <v>25</v>
      </c>
      <c r="R15" s="26"/>
      <c r="S15" s="26"/>
      <c r="T15" s="26"/>
    </row>
    <row r="16" spans="1:20" ht="24.75" customHeight="1" thickTop="1" x14ac:dyDescent="0.25">
      <c r="A16" s="35" t="s">
        <v>4</v>
      </c>
      <c r="B16" s="60">
        <v>629.67951739489399</v>
      </c>
      <c r="C16" s="61">
        <v>49.761175166625598</v>
      </c>
      <c r="D16" s="38">
        <v>7.9026193153776403E-2</v>
      </c>
      <c r="E16" s="39">
        <v>2983</v>
      </c>
      <c r="F16" s="60">
        <v>599.63561291595397</v>
      </c>
      <c r="G16" s="61">
        <v>57.639881554677103</v>
      </c>
      <c r="H16" s="38">
        <v>9.6124847012307141E-2</v>
      </c>
      <c r="I16" s="39">
        <v>1790</v>
      </c>
      <c r="J16" s="60">
        <v>457.58703785102199</v>
      </c>
      <c r="K16" s="61">
        <v>52.992672805126602</v>
      </c>
      <c r="L16" s="38">
        <v>0.11580894654271126</v>
      </c>
      <c r="M16" s="39">
        <v>208</v>
      </c>
      <c r="N16" s="62">
        <v>611.32886384516905</v>
      </c>
      <c r="O16" s="61">
        <v>37.110082070883401</v>
      </c>
      <c r="P16" s="38">
        <v>6.0703958647505073E-2</v>
      </c>
      <c r="Q16" s="39">
        <v>4981</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5" t="s">
        <v>52</v>
      </c>
      <c r="B18" s="17" t="s">
        <v>58</v>
      </c>
      <c r="C18" s="18" t="s">
        <v>36</v>
      </c>
      <c r="D18" s="18" t="s">
        <v>8</v>
      </c>
      <c r="E18" s="19" t="s">
        <v>9</v>
      </c>
      <c r="F18" s="17" t="s">
        <v>58</v>
      </c>
      <c r="G18" s="18" t="s">
        <v>37</v>
      </c>
      <c r="H18" s="18" t="s">
        <v>8</v>
      </c>
      <c r="I18" s="19" t="s">
        <v>9</v>
      </c>
      <c r="J18" s="17" t="s">
        <v>58</v>
      </c>
      <c r="K18" s="18" t="s">
        <v>37</v>
      </c>
      <c r="L18" s="18" t="s">
        <v>8</v>
      </c>
      <c r="M18" s="20" t="s">
        <v>9</v>
      </c>
      <c r="N18" s="17" t="s">
        <v>58</v>
      </c>
      <c r="O18" s="18" t="s">
        <v>37</v>
      </c>
      <c r="P18" s="18" t="s">
        <v>8</v>
      </c>
      <c r="Q18" s="19" t="s">
        <v>9</v>
      </c>
    </row>
    <row r="19" spans="1:20" ht="19.5" customHeight="1" x14ac:dyDescent="0.25">
      <c r="A19" s="50" t="s">
        <v>59</v>
      </c>
      <c r="B19" s="53">
        <v>687.24558506886399</v>
      </c>
      <c r="C19" s="54">
        <v>65.543447431009497</v>
      </c>
      <c r="D19" s="24">
        <v>9.537121642540905E-2</v>
      </c>
      <c r="E19" s="25">
        <v>2458</v>
      </c>
      <c r="F19" s="53">
        <v>529.802399444922</v>
      </c>
      <c r="G19" s="54">
        <v>64.925742818811898</v>
      </c>
      <c r="H19" s="24">
        <v>0.12254709092830665</v>
      </c>
      <c r="I19" s="25">
        <v>1244</v>
      </c>
      <c r="J19" s="53">
        <v>435.759202685334</v>
      </c>
      <c r="K19" s="54">
        <v>64.556993923836799</v>
      </c>
      <c r="L19" s="24">
        <v>0.14814832027874358</v>
      </c>
      <c r="M19" s="25">
        <v>143</v>
      </c>
      <c r="N19" s="53">
        <v>621.79153598562004</v>
      </c>
      <c r="O19" s="54">
        <v>47.917919687956001</v>
      </c>
      <c r="P19" s="24">
        <v>7.7064284273345565E-2</v>
      </c>
      <c r="Q19" s="25">
        <v>3845</v>
      </c>
      <c r="R19" s="26"/>
      <c r="S19" s="26"/>
      <c r="T19" s="26"/>
    </row>
    <row r="20" spans="1:20" ht="19.5" customHeight="1" thickBot="1" x14ac:dyDescent="0.3">
      <c r="A20" s="51" t="s">
        <v>60</v>
      </c>
      <c r="B20" s="55">
        <v>524.382247302358</v>
      </c>
      <c r="C20" s="56">
        <v>60.505156074852799</v>
      </c>
      <c r="D20" s="30">
        <v>0.11538368506202618</v>
      </c>
      <c r="E20" s="31">
        <v>525</v>
      </c>
      <c r="F20" s="55">
        <v>689.44394735418405</v>
      </c>
      <c r="G20" s="56">
        <v>99.066766115557101</v>
      </c>
      <c r="H20" s="30">
        <v>0.14369081996547589</v>
      </c>
      <c r="I20" s="31">
        <v>546</v>
      </c>
      <c r="J20" s="55">
        <v>487.87043309816602</v>
      </c>
      <c r="K20" s="56">
        <v>88.948632838747997</v>
      </c>
      <c r="L20" s="30">
        <v>0.18232019570009553</v>
      </c>
      <c r="M20" s="31">
        <v>65</v>
      </c>
      <c r="N20" s="55">
        <v>594.86445827695002</v>
      </c>
      <c r="O20" s="56">
        <v>55.408964876632602</v>
      </c>
      <c r="P20" s="30">
        <v>9.3145529381814141E-2</v>
      </c>
      <c r="Q20" s="31">
        <v>1136</v>
      </c>
      <c r="R20" s="26"/>
      <c r="S20" s="26"/>
      <c r="T20" s="26"/>
    </row>
    <row r="21" spans="1:20" ht="24.75" customHeight="1" thickTop="1" x14ac:dyDescent="0.25">
      <c r="A21" s="35" t="s">
        <v>4</v>
      </c>
      <c r="B21" s="60">
        <v>629.67951739489399</v>
      </c>
      <c r="C21" s="61">
        <v>49.761175166625598</v>
      </c>
      <c r="D21" s="38">
        <v>7.9026193153776403E-2</v>
      </c>
      <c r="E21" s="39">
        <v>2983</v>
      </c>
      <c r="F21" s="60">
        <v>599.63561291595397</v>
      </c>
      <c r="G21" s="61">
        <v>57.639881554677103</v>
      </c>
      <c r="H21" s="38">
        <v>9.6124847012307141E-2</v>
      </c>
      <c r="I21" s="39">
        <v>1790</v>
      </c>
      <c r="J21" s="60">
        <v>457.58703785102199</v>
      </c>
      <c r="K21" s="61">
        <v>52.992672805126602</v>
      </c>
      <c r="L21" s="38">
        <v>0.11580894654271126</v>
      </c>
      <c r="M21" s="39">
        <v>208</v>
      </c>
      <c r="N21" s="62">
        <v>611.32886384516905</v>
      </c>
      <c r="O21" s="61">
        <v>37.110082070883401</v>
      </c>
      <c r="P21" s="38">
        <v>6.0703958647505073E-2</v>
      </c>
      <c r="Q21" s="39">
        <v>4981</v>
      </c>
    </row>
    <row r="22" spans="1:20" ht="16.5" customHeight="1" x14ac:dyDescent="0.25">
      <c r="A22" s="40"/>
      <c r="B22" s="41"/>
      <c r="C22" s="41"/>
      <c r="D22" s="41"/>
      <c r="E22" s="41"/>
      <c r="F22" s="41"/>
      <c r="G22" s="41"/>
      <c r="H22" s="41"/>
      <c r="I22" s="41"/>
      <c r="J22" s="41"/>
      <c r="K22" s="41"/>
      <c r="L22" s="41"/>
      <c r="M22" s="41"/>
      <c r="N22" s="41"/>
      <c r="O22" s="41"/>
      <c r="P22" s="41"/>
      <c r="Q22" s="41"/>
    </row>
    <row r="23" spans="1:20" x14ac:dyDescent="0.25">
      <c r="A23" s="40" t="s">
        <v>61</v>
      </c>
      <c r="B23" s="44" t="s">
        <v>26</v>
      </c>
      <c r="C23" s="4" t="s">
        <v>62</v>
      </c>
    </row>
    <row r="24" spans="1:20" x14ac:dyDescent="0.25">
      <c r="A24" s="40"/>
      <c r="B24" s="45" t="s">
        <v>28</v>
      </c>
      <c r="C24" s="4" t="s">
        <v>63</v>
      </c>
    </row>
    <row r="25" spans="1:20" x14ac:dyDescent="0.25">
      <c r="A25" s="154" t="s">
        <v>240</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conditionalFormatting sqref="M5:M15">
    <cfRule type="expression" dxfId="757" priority="40">
      <formula>M5&lt;=1</formula>
    </cfRule>
  </conditionalFormatting>
  <conditionalFormatting sqref="L5:L15">
    <cfRule type="expression" dxfId="756" priority="36">
      <formula>OR(L5&gt;=0.5,M5&lt;=5)</formula>
    </cfRule>
    <cfRule type="expression" dxfId="755" priority="39">
      <formula>M5&lt;=1</formula>
    </cfRule>
  </conditionalFormatting>
  <conditionalFormatting sqref="K5:K15">
    <cfRule type="expression" dxfId="754" priority="35">
      <formula>OR(L5&gt;=0.5,M5&lt;=5)</formula>
    </cfRule>
    <cfRule type="expression" dxfId="753" priority="38">
      <formula>M5&lt;=1</formula>
    </cfRule>
  </conditionalFormatting>
  <conditionalFormatting sqref="J5:J15">
    <cfRule type="expression" dxfId="752" priority="34">
      <formula>OR(L5&gt;=0.5,M5&lt;=5)</formula>
    </cfRule>
    <cfRule type="expression" dxfId="751" priority="37">
      <formula>M5&lt;=1</formula>
    </cfRule>
  </conditionalFormatting>
  <conditionalFormatting sqref="I5:I15">
    <cfRule type="expression" dxfId="750" priority="33">
      <formula>I5&lt;=1</formula>
    </cfRule>
  </conditionalFormatting>
  <conditionalFormatting sqref="H5:H15">
    <cfRule type="expression" dxfId="749" priority="29">
      <formula>OR(H5&gt;=0.5,I5&lt;=5)</formula>
    </cfRule>
    <cfRule type="expression" dxfId="748" priority="32">
      <formula>I5&lt;=1</formula>
    </cfRule>
  </conditionalFormatting>
  <conditionalFormatting sqref="G5:G15">
    <cfRule type="expression" dxfId="747" priority="28">
      <formula>OR(H5&gt;=0.5,I5&lt;=5)</formula>
    </cfRule>
    <cfRule type="expression" dxfId="746" priority="31">
      <formula>I5&lt;=1</formula>
    </cfRule>
  </conditionalFormatting>
  <conditionalFormatting sqref="F5:F15">
    <cfRule type="expression" dxfId="745" priority="27">
      <formula>OR(H5&gt;=0.5,I5&lt;=5)</formula>
    </cfRule>
    <cfRule type="expression" dxfId="744" priority="30">
      <formula>I5&lt;=1</formula>
    </cfRule>
  </conditionalFormatting>
  <conditionalFormatting sqref="E5:E15">
    <cfRule type="expression" dxfId="743" priority="26">
      <formula>E5&lt;=1</formula>
    </cfRule>
  </conditionalFormatting>
  <conditionalFormatting sqref="D5:D15">
    <cfRule type="expression" dxfId="742" priority="22">
      <formula>OR(D5&gt;=0.5,E5&lt;=5)</formula>
    </cfRule>
    <cfRule type="expression" dxfId="741" priority="25">
      <formula>E5&lt;=1</formula>
    </cfRule>
  </conditionalFormatting>
  <conditionalFormatting sqref="C5:C15">
    <cfRule type="expression" dxfId="740" priority="21">
      <formula>OR(D5&gt;=0.5,E5&lt;=5)</formula>
    </cfRule>
    <cfRule type="expression" dxfId="739" priority="24">
      <formula>E5&lt;=1</formula>
    </cfRule>
  </conditionalFormatting>
  <conditionalFormatting sqref="B5:B15">
    <cfRule type="expression" dxfId="738" priority="20">
      <formula>OR(D5&gt;=0.5,E5&lt;=5)</formula>
    </cfRule>
    <cfRule type="expression" dxfId="737" priority="23">
      <formula>E5&lt;=1</formula>
    </cfRule>
  </conditionalFormatting>
  <conditionalFormatting sqref="Q5:Q15">
    <cfRule type="expression" dxfId="736" priority="19">
      <formula>Q5&lt;=1</formula>
    </cfRule>
  </conditionalFormatting>
  <conditionalFormatting sqref="P5:P15">
    <cfRule type="expression" dxfId="735" priority="15">
      <formula>OR(P5&gt;=0.5,Q5&lt;=5)</formula>
    </cfRule>
    <cfRule type="expression" dxfId="734" priority="18">
      <formula>Q5&lt;=1</formula>
    </cfRule>
  </conditionalFormatting>
  <conditionalFormatting sqref="O5:O15">
    <cfRule type="expression" dxfId="733" priority="14">
      <formula>OR(P5&gt;=0.5,Q5&lt;=5)</formula>
    </cfRule>
    <cfRule type="expression" dxfId="732" priority="17">
      <formula>Q5&lt;=1</formula>
    </cfRule>
  </conditionalFormatting>
  <conditionalFormatting sqref="N5:N15">
    <cfRule type="expression" dxfId="731" priority="13">
      <formula>OR(P5&gt;=0.5,Q5&lt;=5)</formula>
    </cfRule>
    <cfRule type="expression" dxfId="730" priority="16">
      <formula>Q5&lt;=1</formula>
    </cfRule>
  </conditionalFormatting>
  <conditionalFormatting sqref="M19:M20">
    <cfRule type="expression" dxfId="729" priority="12">
      <formula>M19&lt;=1</formula>
    </cfRule>
  </conditionalFormatting>
  <conditionalFormatting sqref="L19:L20 H19:H20 D19:D20 P19:P20">
    <cfRule type="expression" dxfId="728" priority="8">
      <formula>OR(D19&gt;=0.5,E19&lt;=5)</formula>
    </cfRule>
    <cfRule type="expression" dxfId="727" priority="11">
      <formula>E19&lt;=1</formula>
    </cfRule>
  </conditionalFormatting>
  <conditionalFormatting sqref="K19:K20 G19:G20 C19:C20 O19:O20">
    <cfRule type="expression" dxfId="726" priority="7">
      <formula>OR(D19&gt;=0.5,E19&lt;=5)</formula>
    </cfRule>
    <cfRule type="expression" dxfId="725" priority="10">
      <formula>E19&lt;=1</formula>
    </cfRule>
  </conditionalFormatting>
  <conditionalFormatting sqref="J19:J20">
    <cfRule type="expression" dxfId="724" priority="6">
      <formula>OR(L19&gt;=0.5,M19&lt;=5)</formula>
    </cfRule>
    <cfRule type="expression" dxfId="723" priority="9">
      <formula>M19&lt;=1</formula>
    </cfRule>
  </conditionalFormatting>
  <conditionalFormatting sqref="I19:I20">
    <cfRule type="expression" dxfId="722" priority="5">
      <formula>I19&lt;=1</formula>
    </cfRule>
  </conditionalFormatting>
  <conditionalFormatting sqref="F19:F20 B19:B20 N19:N20">
    <cfRule type="expression" dxfId="721" priority="3">
      <formula>OR(D19&gt;=0.5,E19&lt;=5)</formula>
    </cfRule>
    <cfRule type="expression" dxfId="720" priority="4">
      <formula>E19&lt;=1</formula>
    </cfRule>
  </conditionalFormatting>
  <conditionalFormatting sqref="E19:E20">
    <cfRule type="expression" dxfId="719" priority="2">
      <formula>E19&lt;=1</formula>
    </cfRule>
  </conditionalFormatting>
  <conditionalFormatting sqref="Q19:Q20">
    <cfRule type="expression" dxfId="718" priority="1">
      <formula>Q19&lt;=1</formula>
    </cfRule>
  </conditionalFormatting>
  <hyperlinks>
    <hyperlink ref="A25" location="Überblick!A1" display="zurück zur Übersicht" xr:uid="{792BCFCB-5DFE-4EBD-A8FB-D614F8774909}"/>
  </hyperlinks>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D4FBC-C5FE-40AB-9026-0DC9CF55F1EB}">
  <sheetPr codeName="Tabelle7"/>
  <dimension ref="A1:T29"/>
  <sheetViews>
    <sheetView showGridLines="0" zoomScaleNormal="100" workbookViewId="0">
      <pane xSplit="1" ySplit="4" topLeftCell="B8"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"1.3.4. "&amp;A2&amp;" ("&amp;A3&amp;") für alle GEG-relevanten Nichtwohngebäude nach Gebäude-Hauptfunktion und grober Gebäude-Baualtersklasse (Breitenerhebung)"</f>
        <v>1.3.4. Mittlere unterirdische Außenwandfläche (unteraw_fl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2" t="s">
        <v>81</v>
      </c>
      <c r="B2" s="6" t="s">
        <v>0</v>
      </c>
      <c r="C2" s="7"/>
      <c r="D2" s="7"/>
      <c r="E2" s="7"/>
      <c r="F2" s="7"/>
      <c r="G2" s="7"/>
      <c r="H2" s="7"/>
      <c r="I2" s="7"/>
      <c r="J2" s="7"/>
      <c r="K2" s="7"/>
      <c r="L2" s="7"/>
      <c r="M2" s="8"/>
      <c r="N2" s="9"/>
      <c r="O2" s="9"/>
      <c r="P2" s="7"/>
      <c r="Q2" s="10"/>
    </row>
    <row r="3" spans="1:20" ht="50.25" customHeight="1" x14ac:dyDescent="0.25">
      <c r="A3" s="52" t="s">
        <v>82</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"&amp;$A$3&amp;" in m2"</f>
        <v>Mittlere unteraw_fl [m²] in m2</v>
      </c>
      <c r="C4" s="18" t="s">
        <v>56</v>
      </c>
      <c r="D4" s="18" t="s">
        <v>8</v>
      </c>
      <c r="E4" s="19" t="s">
        <v>9</v>
      </c>
      <c r="F4" s="17" t="str">
        <f>"Mittlere "&amp;$A$3&amp;" in m2"</f>
        <v>Mittlere unteraw_fl [m²] in m2</v>
      </c>
      <c r="G4" s="18" t="s">
        <v>57</v>
      </c>
      <c r="H4" s="18" t="s">
        <v>8</v>
      </c>
      <c r="I4" s="19" t="s">
        <v>9</v>
      </c>
      <c r="J4" s="17" t="str">
        <f>"Mittlere "&amp;$A$3&amp;" in m2"</f>
        <v>Mittlere unteraw_fl [m²] in m2</v>
      </c>
      <c r="K4" s="18" t="s">
        <v>57</v>
      </c>
      <c r="L4" s="18" t="s">
        <v>8</v>
      </c>
      <c r="M4" s="20" t="s">
        <v>9</v>
      </c>
      <c r="N4" s="17" t="str">
        <f>"Mittlere "&amp;$A$3&amp;" in m2"</f>
        <v>Mittlere unteraw_fl [m²] in m2</v>
      </c>
      <c r="O4" s="18" t="s">
        <v>57</v>
      </c>
      <c r="P4" s="18" t="s">
        <v>8</v>
      </c>
      <c r="Q4" s="19" t="s">
        <v>9</v>
      </c>
    </row>
    <row r="5" spans="1:20" ht="19.5" customHeight="1" x14ac:dyDescent="0.25">
      <c r="A5" s="21" t="s">
        <v>10</v>
      </c>
      <c r="B5" s="22">
        <v>213.33164623811399</v>
      </c>
      <c r="C5" s="23">
        <v>37.553912595708297</v>
      </c>
      <c r="D5" s="24">
        <v>0.17603535742555426</v>
      </c>
      <c r="E5" s="25">
        <v>600</v>
      </c>
      <c r="F5" s="22">
        <v>257.82232444010498</v>
      </c>
      <c r="G5" s="23">
        <v>107.55918503936201</v>
      </c>
      <c r="H5" s="24">
        <v>0.41718336561017705</v>
      </c>
      <c r="I5" s="25">
        <v>343</v>
      </c>
      <c r="J5" s="22">
        <v>38.123576288200503</v>
      </c>
      <c r="K5" s="23">
        <v>25.148324416348299</v>
      </c>
      <c r="L5" s="24">
        <v>0.65965281499920225</v>
      </c>
      <c r="M5" s="25">
        <v>30</v>
      </c>
      <c r="N5" s="22">
        <v>222.58638287032699</v>
      </c>
      <c r="O5" s="23">
        <v>44.113343989171803</v>
      </c>
      <c r="P5" s="24">
        <v>0.19818527719582507</v>
      </c>
      <c r="Q5" s="25">
        <v>973</v>
      </c>
      <c r="R5" s="26"/>
      <c r="S5" s="26"/>
      <c r="T5" s="26"/>
    </row>
    <row r="6" spans="1:20" ht="19.5" customHeight="1" x14ac:dyDescent="0.25">
      <c r="A6" s="27" t="s">
        <v>11</v>
      </c>
      <c r="B6" s="28">
        <v>371.50014247314402</v>
      </c>
      <c r="C6" s="29">
        <v>80.8795765063727</v>
      </c>
      <c r="D6" s="30">
        <v>0.217710755015981</v>
      </c>
      <c r="E6" s="31">
        <v>55</v>
      </c>
      <c r="F6" s="28">
        <v>201.48032940769201</v>
      </c>
      <c r="G6" s="29">
        <v>123.758196664002</v>
      </c>
      <c r="H6" s="30">
        <v>0.61424456187769771</v>
      </c>
      <c r="I6" s="31">
        <v>50</v>
      </c>
      <c r="J6" s="28">
        <v>40.712380519939401</v>
      </c>
      <c r="K6" s="29">
        <v>32.089157040218403</v>
      </c>
      <c r="L6" s="30">
        <v>0.78819161715445096</v>
      </c>
      <c r="M6" s="31">
        <v>16</v>
      </c>
      <c r="N6" s="28">
        <v>264.37380558467299</v>
      </c>
      <c r="O6" s="29">
        <v>71.525968047784602</v>
      </c>
      <c r="P6" s="30">
        <v>0.27054861917806922</v>
      </c>
      <c r="Q6" s="31">
        <v>121</v>
      </c>
      <c r="R6" s="26"/>
      <c r="S6" s="26"/>
      <c r="T6" s="26"/>
    </row>
    <row r="7" spans="1:20" ht="19.5" customHeight="1" x14ac:dyDescent="0.25">
      <c r="A7" s="27" t="s">
        <v>12</v>
      </c>
      <c r="B7" s="28">
        <v>518.28558253142603</v>
      </c>
      <c r="C7" s="29">
        <v>118.40501380388601</v>
      </c>
      <c r="D7" s="30">
        <v>0.22845515637453906</v>
      </c>
      <c r="E7" s="31">
        <v>110</v>
      </c>
      <c r="F7" s="28">
        <v>335.21449118871499</v>
      </c>
      <c r="G7" s="29">
        <v>77.040303061675502</v>
      </c>
      <c r="H7" s="30">
        <v>0.22982390405760916</v>
      </c>
      <c r="I7" s="31">
        <v>70</v>
      </c>
      <c r="J7" s="28">
        <v>165.57080070389799</v>
      </c>
      <c r="K7" s="29">
        <v>126.49541336384701</v>
      </c>
      <c r="L7" s="30">
        <v>0.76399590281663088</v>
      </c>
      <c r="M7" s="31">
        <v>13</v>
      </c>
      <c r="N7" s="28">
        <v>392.080062820276</v>
      </c>
      <c r="O7" s="29">
        <v>67.3915433418764</v>
      </c>
      <c r="P7" s="30">
        <v>0.17188209687868708</v>
      </c>
      <c r="Q7" s="31">
        <v>193</v>
      </c>
      <c r="R7" s="26"/>
      <c r="S7" s="26"/>
      <c r="T7" s="26"/>
    </row>
    <row r="8" spans="1:20" ht="19.5" customHeight="1" x14ac:dyDescent="0.25">
      <c r="A8" s="27" t="s">
        <v>13</v>
      </c>
      <c r="B8" s="28">
        <v>286.90435942865798</v>
      </c>
      <c r="C8" s="29">
        <v>27.282980477504701</v>
      </c>
      <c r="D8" s="30">
        <v>9.5094339214071524E-2</v>
      </c>
      <c r="E8" s="31">
        <v>768</v>
      </c>
      <c r="F8" s="28">
        <v>101.629950423626</v>
      </c>
      <c r="G8" s="29">
        <v>17.150782168566</v>
      </c>
      <c r="H8" s="30">
        <v>0.16875716358294063</v>
      </c>
      <c r="I8" s="31">
        <v>288</v>
      </c>
      <c r="J8" s="28">
        <v>10.6745047716373</v>
      </c>
      <c r="K8" s="29">
        <v>8.9256498159741806</v>
      </c>
      <c r="L8" s="30">
        <v>0.83616523735040937</v>
      </c>
      <c r="M8" s="31">
        <v>32</v>
      </c>
      <c r="N8" s="28">
        <v>198.83583334696601</v>
      </c>
      <c r="O8" s="29">
        <v>28.4380053055168</v>
      </c>
      <c r="P8" s="30">
        <v>0.14302253686785341</v>
      </c>
      <c r="Q8" s="31">
        <v>1088</v>
      </c>
      <c r="R8" s="26"/>
      <c r="S8" s="26"/>
      <c r="T8" s="26"/>
    </row>
    <row r="9" spans="1:20" ht="19.5" customHeight="1" x14ac:dyDescent="0.25">
      <c r="A9" s="27" t="s">
        <v>14</v>
      </c>
      <c r="B9" s="28">
        <v>121.322538349702</v>
      </c>
      <c r="C9" s="29">
        <v>22.330977743677099</v>
      </c>
      <c r="D9" s="30">
        <v>0.184062895876032</v>
      </c>
      <c r="E9" s="31">
        <v>335</v>
      </c>
      <c r="F9" s="28">
        <v>84.515720388330806</v>
      </c>
      <c r="G9" s="29">
        <v>45.435850305792698</v>
      </c>
      <c r="H9" s="30">
        <v>0.53760235488764863</v>
      </c>
      <c r="I9" s="31">
        <v>129</v>
      </c>
      <c r="J9" s="28">
        <v>12.831485967979599</v>
      </c>
      <c r="K9" s="29">
        <v>11.7538040095877</v>
      </c>
      <c r="L9" s="30">
        <v>0.91601269244410144</v>
      </c>
      <c r="M9" s="31">
        <v>18</v>
      </c>
      <c r="N9" s="28">
        <v>103.86382336877899</v>
      </c>
      <c r="O9" s="29">
        <v>22.8267609093866</v>
      </c>
      <c r="P9" s="30">
        <v>0.21977585812856013</v>
      </c>
      <c r="Q9" s="31">
        <v>482</v>
      </c>
      <c r="R9" s="26"/>
      <c r="S9" s="26"/>
      <c r="T9" s="26"/>
    </row>
    <row r="10" spans="1:20" ht="19.5" customHeight="1" x14ac:dyDescent="0.25">
      <c r="A10" s="27" t="s">
        <v>15</v>
      </c>
      <c r="B10" s="28">
        <v>129.40434432884101</v>
      </c>
      <c r="C10" s="29">
        <v>42.113931111619102</v>
      </c>
      <c r="D10" s="30">
        <v>0.32544449206898035</v>
      </c>
      <c r="E10" s="31">
        <v>225</v>
      </c>
      <c r="F10" s="28">
        <v>106.596562198355</v>
      </c>
      <c r="G10" s="29">
        <v>30.780246550809199</v>
      </c>
      <c r="H10" s="30">
        <v>0.28875458941662002</v>
      </c>
      <c r="I10" s="31">
        <v>133</v>
      </c>
      <c r="J10" s="28">
        <v>6.4131676905455404</v>
      </c>
      <c r="K10" s="29">
        <v>8.2973018014773903</v>
      </c>
      <c r="L10" s="30">
        <v>1.2937914930416508</v>
      </c>
      <c r="M10" s="31">
        <v>11</v>
      </c>
      <c r="N10" s="28">
        <v>115.89190619978</v>
      </c>
      <c r="O10" s="29">
        <v>28.3190274922516</v>
      </c>
      <c r="P10" s="30">
        <v>0.24435724996561803</v>
      </c>
      <c r="Q10" s="31">
        <v>369</v>
      </c>
      <c r="R10" s="26"/>
      <c r="S10" s="26"/>
      <c r="T10" s="26"/>
    </row>
    <row r="11" spans="1:20" ht="19.5" customHeight="1" x14ac:dyDescent="0.25">
      <c r="A11" s="27" t="s">
        <v>16</v>
      </c>
      <c r="B11" s="28">
        <v>139.87359734896</v>
      </c>
      <c r="C11" s="29">
        <v>18.8515148900612</v>
      </c>
      <c r="D11" s="30">
        <v>0.13477536323763797</v>
      </c>
      <c r="E11" s="31">
        <v>220</v>
      </c>
      <c r="F11" s="28">
        <v>62.4651447122599</v>
      </c>
      <c r="G11" s="29">
        <v>37.164993307914102</v>
      </c>
      <c r="H11" s="30">
        <v>0.59497169948314887</v>
      </c>
      <c r="I11" s="31">
        <v>114</v>
      </c>
      <c r="J11" s="28">
        <v>333.001052878824</v>
      </c>
      <c r="K11" s="29">
        <v>227.650351213021</v>
      </c>
      <c r="L11" s="30">
        <v>0.68363252681924958</v>
      </c>
      <c r="M11" s="31">
        <v>11</v>
      </c>
      <c r="N11" s="28">
        <v>121.809034333688</v>
      </c>
      <c r="O11" s="29">
        <v>21.1387523063141</v>
      </c>
      <c r="P11" s="30">
        <v>0.17354010252150795</v>
      </c>
      <c r="Q11" s="31">
        <v>345</v>
      </c>
      <c r="R11" s="26"/>
      <c r="S11" s="26"/>
      <c r="T11" s="26"/>
    </row>
    <row r="12" spans="1:20" ht="19.5" customHeight="1" x14ac:dyDescent="0.25">
      <c r="A12" s="27" t="s">
        <v>17</v>
      </c>
      <c r="B12" s="28">
        <v>89.202916119227197</v>
      </c>
      <c r="C12" s="29">
        <v>18.213506620041599</v>
      </c>
      <c r="D12" s="30">
        <v>0.20418061889028064</v>
      </c>
      <c r="E12" s="31">
        <v>494</v>
      </c>
      <c r="F12" s="28">
        <v>64.204198193881197</v>
      </c>
      <c r="G12" s="29">
        <v>26.305461265129001</v>
      </c>
      <c r="H12" s="30">
        <v>0.4097155950097352</v>
      </c>
      <c r="I12" s="31">
        <v>518</v>
      </c>
      <c r="J12" s="28">
        <v>27.1285920472736</v>
      </c>
      <c r="K12" s="29">
        <v>17.535344494685599</v>
      </c>
      <c r="L12" s="30">
        <v>0.64637871601036101</v>
      </c>
      <c r="M12" s="31">
        <v>64</v>
      </c>
      <c r="N12" s="28">
        <v>76.210826737016802</v>
      </c>
      <c r="O12" s="29">
        <v>14.369494032912201</v>
      </c>
      <c r="P12" s="30">
        <v>0.18854924750386826</v>
      </c>
      <c r="Q12" s="31">
        <v>1076</v>
      </c>
      <c r="R12" s="26"/>
      <c r="S12" s="26"/>
      <c r="T12" s="26"/>
    </row>
    <row r="13" spans="1:20" ht="19.5" customHeight="1" x14ac:dyDescent="0.25">
      <c r="A13" s="27" t="s">
        <v>18</v>
      </c>
      <c r="B13" s="28">
        <v>110.594507416743</v>
      </c>
      <c r="C13" s="29">
        <v>39.4254385634149</v>
      </c>
      <c r="D13" s="30">
        <v>0.35648640682354765</v>
      </c>
      <c r="E13" s="31">
        <v>101</v>
      </c>
      <c r="F13" s="28">
        <v>95.726782814817</v>
      </c>
      <c r="G13" s="29">
        <v>41.996823368592999</v>
      </c>
      <c r="H13" s="30">
        <v>0.43871549981822383</v>
      </c>
      <c r="I13" s="31">
        <v>126</v>
      </c>
      <c r="J13" s="28">
        <v>87.621293001505805</v>
      </c>
      <c r="K13" s="29">
        <v>48.693941291481003</v>
      </c>
      <c r="L13" s="30">
        <v>0.55573182754383887</v>
      </c>
      <c r="M13" s="31">
        <v>14</v>
      </c>
      <c r="N13" s="28">
        <v>102.97838821248401</v>
      </c>
      <c r="O13" s="29">
        <v>28.668887695360599</v>
      </c>
      <c r="P13" s="30">
        <v>0.27839712965992108</v>
      </c>
      <c r="Q13" s="31">
        <v>241</v>
      </c>
      <c r="R13" s="26"/>
      <c r="S13" s="26"/>
      <c r="T13" s="26"/>
    </row>
    <row r="14" spans="1:20" ht="19.5" customHeight="1" x14ac:dyDescent="0.25">
      <c r="A14" s="27" t="s">
        <v>19</v>
      </c>
      <c r="B14" s="32">
        <v>148.71309529158401</v>
      </c>
      <c r="C14" s="33">
        <v>53.486515110440699</v>
      </c>
      <c r="D14" s="30">
        <v>0.35966244267573666</v>
      </c>
      <c r="E14" s="31">
        <v>26</v>
      </c>
      <c r="F14" s="32">
        <v>107.03888419015</v>
      </c>
      <c r="G14" s="33">
        <v>73.757779697229196</v>
      </c>
      <c r="H14" s="30">
        <v>0.68907463166564453</v>
      </c>
      <c r="I14" s="31">
        <v>24</v>
      </c>
      <c r="J14" s="32">
        <v>0</v>
      </c>
      <c r="K14" s="33">
        <v>0</v>
      </c>
      <c r="L14" s="30" t="e">
        <v>#DIV/0!</v>
      </c>
      <c r="M14" s="31">
        <v>1</v>
      </c>
      <c r="N14" s="32">
        <v>116.846745825165</v>
      </c>
      <c r="O14" s="33">
        <v>56.072598138231498</v>
      </c>
      <c r="P14" s="30">
        <v>0.47988155547037303</v>
      </c>
      <c r="Q14" s="31">
        <v>51</v>
      </c>
      <c r="R14" s="26"/>
      <c r="S14" s="26"/>
      <c r="T14" s="26"/>
    </row>
    <row r="15" spans="1:20" ht="19.5" customHeight="1" thickBot="1" x14ac:dyDescent="0.3">
      <c r="A15" s="27" t="s">
        <v>20</v>
      </c>
      <c r="B15" s="32">
        <v>100.099857696854</v>
      </c>
      <c r="C15" s="34">
        <v>60.711598842708</v>
      </c>
      <c r="D15" s="30">
        <v>0.6065103411692071</v>
      </c>
      <c r="E15" s="31">
        <v>15</v>
      </c>
      <c r="F15" s="32">
        <v>0</v>
      </c>
      <c r="G15" s="34">
        <v>0</v>
      </c>
      <c r="H15" s="30" t="e">
        <v>#DIV/0!</v>
      </c>
      <c r="I15" s="31">
        <v>9</v>
      </c>
      <c r="J15" s="32">
        <v>0</v>
      </c>
      <c r="K15" s="34">
        <v>0</v>
      </c>
      <c r="L15" s="30" t="e">
        <v>#DIV/0!</v>
      </c>
      <c r="M15" s="31">
        <v>1</v>
      </c>
      <c r="N15" s="32">
        <v>60.225998198000397</v>
      </c>
      <c r="O15" s="34">
        <v>45.373267925176997</v>
      </c>
      <c r="P15" s="30">
        <v>0.75338341053321822</v>
      </c>
      <c r="Q15" s="31">
        <v>25</v>
      </c>
      <c r="R15" s="26"/>
      <c r="S15" s="26"/>
      <c r="T15" s="26"/>
    </row>
    <row r="16" spans="1:20" ht="24.75" customHeight="1" thickTop="1" x14ac:dyDescent="0.25">
      <c r="A16" s="35" t="s">
        <v>4</v>
      </c>
      <c r="B16" s="36">
        <v>152.06424313801199</v>
      </c>
      <c r="C16" s="37">
        <v>12.137806070241901</v>
      </c>
      <c r="D16" s="38">
        <v>7.9820251097595302E-2</v>
      </c>
      <c r="E16" s="39">
        <v>2949</v>
      </c>
      <c r="F16" s="36">
        <v>115.78380440242999</v>
      </c>
      <c r="G16" s="37">
        <v>20.024745520078401</v>
      </c>
      <c r="H16" s="38">
        <v>0.17294945198447922</v>
      </c>
      <c r="I16" s="39">
        <v>1804</v>
      </c>
      <c r="J16" s="36">
        <v>42.010951803923</v>
      </c>
      <c r="K16" s="37">
        <v>12.541860173184</v>
      </c>
      <c r="L16" s="38">
        <v>0.29853787249859065</v>
      </c>
      <c r="M16" s="39">
        <v>211</v>
      </c>
      <c r="N16" s="36">
        <v>133.75804467027299</v>
      </c>
      <c r="O16" s="37">
        <v>10.720534257046101</v>
      </c>
      <c r="P16" s="38">
        <v>8.0148706445831303E-2</v>
      </c>
      <c r="Q16" s="39">
        <v>4964</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5" t="s">
        <v>52</v>
      </c>
      <c r="B18" s="17" t="s">
        <v>58</v>
      </c>
      <c r="C18" s="18" t="s">
        <v>36</v>
      </c>
      <c r="D18" s="18" t="s">
        <v>8</v>
      </c>
      <c r="E18" s="19" t="s">
        <v>9</v>
      </c>
      <c r="F18" s="17" t="s">
        <v>58</v>
      </c>
      <c r="G18" s="18" t="s">
        <v>37</v>
      </c>
      <c r="H18" s="18" t="s">
        <v>8</v>
      </c>
      <c r="I18" s="19" t="s">
        <v>9</v>
      </c>
      <c r="J18" s="17" t="s">
        <v>58</v>
      </c>
      <c r="K18" s="18" t="s">
        <v>37</v>
      </c>
      <c r="L18" s="18" t="s">
        <v>8</v>
      </c>
      <c r="M18" s="20" t="s">
        <v>9</v>
      </c>
      <c r="N18" s="17" t="s">
        <v>58</v>
      </c>
      <c r="O18" s="18" t="s">
        <v>37</v>
      </c>
      <c r="P18" s="18" t="s">
        <v>8</v>
      </c>
      <c r="Q18" s="19" t="s">
        <v>9</v>
      </c>
    </row>
    <row r="19" spans="1:20" ht="19.5" customHeight="1" x14ac:dyDescent="0.25">
      <c r="A19" s="50" t="s">
        <v>22</v>
      </c>
      <c r="B19" s="32">
        <v>184.36553133034701</v>
      </c>
      <c r="C19" s="33">
        <v>14.2987385530403</v>
      </c>
      <c r="D19" s="24">
        <v>7.7556463238346626E-2</v>
      </c>
      <c r="E19" s="25">
        <v>2414</v>
      </c>
      <c r="F19" s="32">
        <v>151.861493417307</v>
      </c>
      <c r="G19" s="33">
        <v>32.539840128571598</v>
      </c>
      <c r="H19" s="24">
        <v>0.21427314717071769</v>
      </c>
      <c r="I19" s="25">
        <v>1253</v>
      </c>
      <c r="J19" s="32">
        <v>53.468013492477098</v>
      </c>
      <c r="K19" s="33">
        <v>19.809142405551</v>
      </c>
      <c r="L19" s="24">
        <v>0.37048584960685194</v>
      </c>
      <c r="M19" s="25">
        <v>145</v>
      </c>
      <c r="N19" s="32">
        <v>167.97676534883701</v>
      </c>
      <c r="O19" s="33">
        <v>15.3785729406763</v>
      </c>
      <c r="P19" s="24">
        <v>9.1551786395812823E-2</v>
      </c>
      <c r="Q19" s="25">
        <v>3812</v>
      </c>
      <c r="R19" s="26"/>
      <c r="S19" s="26"/>
      <c r="T19" s="26"/>
    </row>
    <row r="20" spans="1:20" ht="19.5" customHeight="1" thickBot="1" x14ac:dyDescent="0.3">
      <c r="A20" s="51" t="s">
        <v>23</v>
      </c>
      <c r="B20" s="32">
        <v>92.102437916963595</v>
      </c>
      <c r="C20" s="34">
        <v>17.2675792375538</v>
      </c>
      <c r="D20" s="30">
        <v>0.1874823254203288</v>
      </c>
      <c r="E20" s="31">
        <v>535</v>
      </c>
      <c r="F20" s="32">
        <v>69.579252860491195</v>
      </c>
      <c r="G20" s="34">
        <v>25.119632541042499</v>
      </c>
      <c r="H20" s="30">
        <v>0.36102187805046182</v>
      </c>
      <c r="I20" s="31">
        <v>551</v>
      </c>
      <c r="J20" s="32">
        <v>25.7335147747329</v>
      </c>
      <c r="K20" s="34">
        <v>16.8294534724334</v>
      </c>
      <c r="L20" s="30">
        <v>0.65398969475237889</v>
      </c>
      <c r="M20" s="31">
        <v>66</v>
      </c>
      <c r="N20" s="32">
        <v>79.472307516692197</v>
      </c>
      <c r="O20" s="34">
        <v>13.676067827789501</v>
      </c>
      <c r="P20" s="30">
        <v>0.17208595365016938</v>
      </c>
      <c r="Q20" s="31">
        <v>1152</v>
      </c>
      <c r="R20" s="26"/>
      <c r="S20" s="26"/>
      <c r="T20" s="26"/>
    </row>
    <row r="21" spans="1:20" ht="24.75" customHeight="1" thickTop="1" x14ac:dyDescent="0.25">
      <c r="A21" s="35" t="s">
        <v>4</v>
      </c>
      <c r="B21" s="36">
        <v>152.06424313801199</v>
      </c>
      <c r="C21" s="37">
        <v>12.137806070241901</v>
      </c>
      <c r="D21" s="38">
        <v>7.9820251097595302E-2</v>
      </c>
      <c r="E21" s="39">
        <v>2949</v>
      </c>
      <c r="F21" s="36">
        <v>115.78380440242999</v>
      </c>
      <c r="G21" s="37">
        <v>20.024745520078401</v>
      </c>
      <c r="H21" s="38">
        <v>0.17294945198447922</v>
      </c>
      <c r="I21" s="39">
        <v>1804</v>
      </c>
      <c r="J21" s="36">
        <v>42.010951803923</v>
      </c>
      <c r="K21" s="37">
        <v>12.541860173184</v>
      </c>
      <c r="L21" s="38">
        <v>0.29853787249859065</v>
      </c>
      <c r="M21" s="39">
        <v>211</v>
      </c>
      <c r="N21" s="36">
        <v>133.75804467027299</v>
      </c>
      <c r="O21" s="37">
        <v>10.720534257046101</v>
      </c>
      <c r="P21" s="38">
        <v>8.0148706445831303E-2</v>
      </c>
      <c r="Q21" s="39">
        <v>4964</v>
      </c>
    </row>
    <row r="22" spans="1:20" ht="16.5" customHeight="1" x14ac:dyDescent="0.25">
      <c r="A22" s="40"/>
      <c r="B22" s="41"/>
      <c r="C22" s="41"/>
      <c r="D22" s="41"/>
      <c r="E22" s="41"/>
      <c r="F22" s="41"/>
      <c r="G22" s="41"/>
      <c r="H22" s="41"/>
      <c r="I22" s="41"/>
      <c r="J22" s="41"/>
      <c r="K22" s="41"/>
      <c r="L22" s="41"/>
      <c r="M22" s="41"/>
      <c r="N22" s="41"/>
      <c r="O22" s="41"/>
      <c r="P22" s="41"/>
      <c r="Q22" s="41"/>
    </row>
    <row r="23" spans="1:20" x14ac:dyDescent="0.25">
      <c r="A23" s="40" t="s">
        <v>61</v>
      </c>
      <c r="B23" s="44" t="s">
        <v>26</v>
      </c>
      <c r="C23" s="4" t="s">
        <v>62</v>
      </c>
    </row>
    <row r="24" spans="1:20" x14ac:dyDescent="0.25">
      <c r="A24" s="40"/>
      <c r="B24" s="45" t="s">
        <v>28</v>
      </c>
      <c r="C24" s="4" t="s">
        <v>63</v>
      </c>
    </row>
    <row r="25" spans="1:20" x14ac:dyDescent="0.25">
      <c r="A25" s="154" t="s">
        <v>240</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conditionalFormatting sqref="M5:M16">
    <cfRule type="expression" dxfId="717" priority="56">
      <formula>M5&lt;=1</formula>
    </cfRule>
  </conditionalFormatting>
  <conditionalFormatting sqref="J5:J16">
    <cfRule type="expression" dxfId="716" priority="50">
      <formula>OR(L5&gt;=0.5,M5&lt;=5)</formula>
    </cfRule>
    <cfRule type="expression" dxfId="715" priority="53">
      <formula>M5&lt;=1</formula>
    </cfRule>
  </conditionalFormatting>
  <conditionalFormatting sqref="K5:K16">
    <cfRule type="expression" dxfId="714" priority="51">
      <formula>OR(L5&gt;=0.5,M5&lt;=5)</formula>
    </cfRule>
    <cfRule type="expression" dxfId="713" priority="54">
      <formula>M5&lt;=1</formula>
    </cfRule>
  </conditionalFormatting>
  <conditionalFormatting sqref="L5:L16">
    <cfRule type="expression" dxfId="712" priority="52">
      <formula>OR(L5&gt;=0.5,M5&lt;=5)</formula>
    </cfRule>
    <cfRule type="expression" dxfId="711" priority="55">
      <formula>M5&lt;=1</formula>
    </cfRule>
  </conditionalFormatting>
  <conditionalFormatting sqref="Q5:Q16">
    <cfRule type="expression" dxfId="710" priority="49">
      <formula>Q5&lt;=1</formula>
    </cfRule>
  </conditionalFormatting>
  <conditionalFormatting sqref="N5:N16">
    <cfRule type="expression" dxfId="709" priority="43">
      <formula>OR(P5&gt;=0.5,Q5&lt;=5)</formula>
    </cfRule>
    <cfRule type="expression" dxfId="708" priority="46">
      <formula>Q5&lt;=1</formula>
    </cfRule>
  </conditionalFormatting>
  <conditionalFormatting sqref="O5:O16">
    <cfRule type="expression" dxfId="707" priority="44">
      <formula>OR(P5&gt;=0.5,Q5&lt;=5)</formula>
    </cfRule>
    <cfRule type="expression" dxfId="706" priority="47">
      <formula>Q5&lt;=1</formula>
    </cfRule>
  </conditionalFormatting>
  <conditionalFormatting sqref="P5:P16">
    <cfRule type="expression" dxfId="705" priority="45">
      <formula>OR(P5&gt;=0.5,Q5&lt;=5)</formula>
    </cfRule>
    <cfRule type="expression" dxfId="704" priority="48">
      <formula>Q5&lt;=1</formula>
    </cfRule>
  </conditionalFormatting>
  <conditionalFormatting sqref="E5:E16">
    <cfRule type="expression" dxfId="703" priority="42">
      <formula>E5&lt;=1</formula>
    </cfRule>
  </conditionalFormatting>
  <conditionalFormatting sqref="B5:B16">
    <cfRule type="expression" dxfId="702" priority="36">
      <formula>OR(D5&gt;=0.5,E5&lt;=5)</formula>
    </cfRule>
    <cfRule type="expression" dxfId="701" priority="39">
      <formula>E5&lt;=1</formula>
    </cfRule>
  </conditionalFormatting>
  <conditionalFormatting sqref="C5:C16">
    <cfRule type="expression" dxfId="700" priority="37">
      <formula>OR(D5&gt;=0.5,E5&lt;=5)</formula>
    </cfRule>
    <cfRule type="expression" dxfId="699" priority="40">
      <formula>E5&lt;=1</formula>
    </cfRule>
  </conditionalFormatting>
  <conditionalFormatting sqref="D5:D16">
    <cfRule type="expression" dxfId="698" priority="38">
      <formula>OR(D5&gt;=0.5,E5&lt;=5)</formula>
    </cfRule>
    <cfRule type="expression" dxfId="697" priority="41">
      <formula>E5&lt;=1</formula>
    </cfRule>
  </conditionalFormatting>
  <conditionalFormatting sqref="I5:I16">
    <cfRule type="expression" dxfId="696" priority="35">
      <formula>I5&lt;=1</formula>
    </cfRule>
  </conditionalFormatting>
  <conditionalFormatting sqref="F5:F16">
    <cfRule type="expression" dxfId="695" priority="29">
      <formula>OR(H5&gt;=0.5,I5&lt;=5)</formula>
    </cfRule>
    <cfRule type="expression" dxfId="694" priority="32">
      <formula>I5&lt;=1</formula>
    </cfRule>
  </conditionalFormatting>
  <conditionalFormatting sqref="G5:G16">
    <cfRule type="expression" dxfId="693" priority="30">
      <formula>OR(H5&gt;=0.5,I5&lt;=5)</formula>
    </cfRule>
    <cfRule type="expression" dxfId="692" priority="33">
      <formula>I5&lt;=1</formula>
    </cfRule>
  </conditionalFormatting>
  <conditionalFormatting sqref="H5:H16">
    <cfRule type="expression" dxfId="691" priority="31">
      <formula>OR(H5&gt;=0.5,I5&lt;=5)</formula>
    </cfRule>
    <cfRule type="expression" dxfId="690" priority="34">
      <formula>I5&lt;=1</formula>
    </cfRule>
  </conditionalFormatting>
  <conditionalFormatting sqref="D19:D20">
    <cfRule type="expression" dxfId="689" priority="27">
      <formula>OR(D19&gt;=0.5,E19&lt;=5)</formula>
    </cfRule>
    <cfRule type="expression" dxfId="688" priority="28">
      <formula>E19&lt;=1</formula>
    </cfRule>
  </conditionalFormatting>
  <conditionalFormatting sqref="E19:E20">
    <cfRule type="expression" dxfId="687" priority="26">
      <formula>E19&lt;=1</formula>
    </cfRule>
  </conditionalFormatting>
  <conditionalFormatting sqref="C19:C20">
    <cfRule type="expression" dxfId="686" priority="23">
      <formula>OR(D19&gt;=0.5,E19&lt;=5)</formula>
    </cfRule>
    <cfRule type="expression" dxfId="685" priority="25">
      <formula>E19&lt;=1</formula>
    </cfRule>
  </conditionalFormatting>
  <conditionalFormatting sqref="B19:B20">
    <cfRule type="expression" dxfId="684" priority="22">
      <formula>OR(D19&gt;=0.5,E19&lt;=5)</formula>
    </cfRule>
    <cfRule type="expression" dxfId="683" priority="24">
      <formula>E19&lt;=1</formula>
    </cfRule>
  </conditionalFormatting>
  <conditionalFormatting sqref="H19:H20">
    <cfRule type="expression" dxfId="682" priority="20">
      <formula>OR(H19&gt;=0.5,I19&lt;=5)</formula>
    </cfRule>
    <cfRule type="expression" dxfId="681" priority="21">
      <formula>I19&lt;=1</formula>
    </cfRule>
  </conditionalFormatting>
  <conditionalFormatting sqref="I19:I20">
    <cfRule type="expression" dxfId="680" priority="19">
      <formula>I19&lt;=1</formula>
    </cfRule>
  </conditionalFormatting>
  <conditionalFormatting sqref="G19:G20">
    <cfRule type="expression" dxfId="679" priority="16">
      <formula>OR(H19&gt;=0.5,I19&lt;=5)</formula>
    </cfRule>
    <cfRule type="expression" dxfId="678" priority="18">
      <formula>I19&lt;=1</formula>
    </cfRule>
  </conditionalFormatting>
  <conditionalFormatting sqref="F19:F20">
    <cfRule type="expression" dxfId="677" priority="15">
      <formula>OR(H19&gt;=0.5,I19&lt;=5)</formula>
    </cfRule>
    <cfRule type="expression" dxfId="676" priority="17">
      <formula>I19&lt;=1</formula>
    </cfRule>
  </conditionalFormatting>
  <conditionalFormatting sqref="L19:L20">
    <cfRule type="expression" dxfId="675" priority="13">
      <formula>OR(L19&gt;=0.5,M19&lt;=5)</formula>
    </cfRule>
    <cfRule type="expression" dxfId="674" priority="14">
      <formula>M19&lt;=1</formula>
    </cfRule>
  </conditionalFormatting>
  <conditionalFormatting sqref="M19:M20">
    <cfRule type="expression" dxfId="673" priority="12">
      <formula>M19&lt;=1</formula>
    </cfRule>
  </conditionalFormatting>
  <conditionalFormatting sqref="K19:K20">
    <cfRule type="expression" dxfId="672" priority="9">
      <formula>OR(L19&gt;=0.5,M19&lt;=5)</formula>
    </cfRule>
    <cfRule type="expression" dxfId="671" priority="11">
      <formula>M19&lt;=1</formula>
    </cfRule>
  </conditionalFormatting>
  <conditionalFormatting sqref="J19:J20">
    <cfRule type="expression" dxfId="670" priority="8">
      <formula>OR(L19&gt;=0.5,M19&lt;=5)</formula>
    </cfRule>
    <cfRule type="expression" dxfId="669" priority="10">
      <formula>M19&lt;=1</formula>
    </cfRule>
  </conditionalFormatting>
  <conditionalFormatting sqref="P19:P20">
    <cfRule type="expression" dxfId="668" priority="6">
      <formula>OR(P19&gt;=0.5,Q19&lt;=5)</formula>
    </cfRule>
    <cfRule type="expression" dxfId="667" priority="7">
      <formula>Q19&lt;=1</formula>
    </cfRule>
  </conditionalFormatting>
  <conditionalFormatting sqref="Q19:Q20">
    <cfRule type="expression" dxfId="666" priority="5">
      <formula>Q19&lt;=1</formula>
    </cfRule>
  </conditionalFormatting>
  <conditionalFormatting sqref="O19:O20">
    <cfRule type="expression" dxfId="665" priority="2">
      <formula>OR(P19&gt;=0.5,Q19&lt;=5)</formula>
    </cfRule>
    <cfRule type="expression" dxfId="664" priority="4">
      <formula>Q19&lt;=1</formula>
    </cfRule>
  </conditionalFormatting>
  <conditionalFormatting sqref="N19:N20">
    <cfRule type="expression" dxfId="663" priority="1">
      <formula>OR(P19&gt;=0.5,Q19&lt;=5)</formula>
    </cfRule>
    <cfRule type="expression" dxfId="662" priority="3">
      <formula>Q19&lt;=1</formula>
    </cfRule>
  </conditionalFormatting>
  <hyperlinks>
    <hyperlink ref="A25" location="Überblick!A1" display="zurück zur Übersicht" xr:uid="{22F6B21C-BF12-4812-AB71-92874A04BBCC}"/>
  </hyperlinks>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46C9A-B829-44EA-992A-A6FCE4DAE5C8}">
  <sheetPr codeName="Tabelle8"/>
  <dimension ref="A1:T29"/>
  <sheetViews>
    <sheetView showGridLines="0" zoomScaleNormal="10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"1.3.5. "&amp;A2&amp;" ("&amp;A3&amp;") für alle GEG-relevanten Nichtwohngebäude nach Gebäude-Hauptfunktion und grober Gebäude-Baualtersklasse (Breitenerhebung)"</f>
        <v>1.3.5. Mittlere Fensterfläche (fen_fl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2" t="s">
        <v>65</v>
      </c>
      <c r="B2" s="6" t="s">
        <v>0</v>
      </c>
      <c r="C2" s="7"/>
      <c r="D2" s="7"/>
      <c r="E2" s="7"/>
      <c r="F2" s="7"/>
      <c r="G2" s="7"/>
      <c r="H2" s="7"/>
      <c r="I2" s="7"/>
      <c r="J2" s="7"/>
      <c r="K2" s="7"/>
      <c r="L2" s="7"/>
      <c r="M2" s="8"/>
      <c r="N2" s="9"/>
      <c r="O2" s="9"/>
      <c r="P2" s="7"/>
      <c r="Q2" s="10"/>
    </row>
    <row r="3" spans="1:20" ht="50.25" customHeight="1" x14ac:dyDescent="0.25">
      <c r="A3" s="52" t="s">
        <v>66</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"&amp;$A$3&amp;" in m2"</f>
        <v>Mittlere fen_fl [m²] in m2</v>
      </c>
      <c r="C4" s="18" t="s">
        <v>56</v>
      </c>
      <c r="D4" s="18" t="s">
        <v>8</v>
      </c>
      <c r="E4" s="19" t="s">
        <v>9</v>
      </c>
      <c r="F4" s="17" t="str">
        <f>"Mittlere "&amp;$A$3&amp;" in m2"</f>
        <v>Mittlere fen_fl [m²] in m2</v>
      </c>
      <c r="G4" s="18" t="s">
        <v>57</v>
      </c>
      <c r="H4" s="18" t="s">
        <v>8</v>
      </c>
      <c r="I4" s="19" t="s">
        <v>9</v>
      </c>
      <c r="J4" s="17" t="str">
        <f>"Mittlere "&amp;$A$3&amp;" in m2"</f>
        <v>Mittlere fen_fl [m²] in m2</v>
      </c>
      <c r="K4" s="18" t="s">
        <v>57</v>
      </c>
      <c r="L4" s="18" t="s">
        <v>8</v>
      </c>
      <c r="M4" s="20" t="s">
        <v>9</v>
      </c>
      <c r="N4" s="17" t="str">
        <f>"Mittlere "&amp;$A$3&amp;" in m2"</f>
        <v>Mittlere fen_fl [m²] in m2</v>
      </c>
      <c r="O4" s="18" t="s">
        <v>57</v>
      </c>
      <c r="P4" s="18" t="s">
        <v>8</v>
      </c>
      <c r="Q4" s="19" t="s">
        <v>9</v>
      </c>
    </row>
    <row r="5" spans="1:20" ht="19.5" customHeight="1" x14ac:dyDescent="0.25">
      <c r="A5" s="21" t="s">
        <v>10</v>
      </c>
      <c r="B5" s="22">
        <v>412.04594428860901</v>
      </c>
      <c r="C5" s="23">
        <v>60.975294027809298</v>
      </c>
      <c r="D5" s="24">
        <v>0.14798178424758482</v>
      </c>
      <c r="E5" s="25">
        <v>618</v>
      </c>
      <c r="F5" s="22">
        <v>458.412579528045</v>
      </c>
      <c r="G5" s="23">
        <v>125.10464459606</v>
      </c>
      <c r="H5" s="24">
        <v>0.27290840213167905</v>
      </c>
      <c r="I5" s="25">
        <v>346</v>
      </c>
      <c r="J5" s="22">
        <v>293.23700200811697</v>
      </c>
      <c r="K5" s="23">
        <v>102.851413499207</v>
      </c>
      <c r="L5" s="24">
        <v>0.35074500419411603</v>
      </c>
      <c r="M5" s="25">
        <v>30</v>
      </c>
      <c r="N5" s="22">
        <v>424.00688513074402</v>
      </c>
      <c r="O5" s="23">
        <v>59.167320702420703</v>
      </c>
      <c r="P5" s="24">
        <v>0.13954330171826396</v>
      </c>
      <c r="Q5" s="25">
        <v>994</v>
      </c>
      <c r="R5" s="26"/>
      <c r="S5" s="26"/>
      <c r="T5" s="26"/>
    </row>
    <row r="6" spans="1:20" ht="19.5" customHeight="1" x14ac:dyDescent="0.25">
      <c r="A6" s="27" t="s">
        <v>11</v>
      </c>
      <c r="B6" s="28">
        <v>922.653029331433</v>
      </c>
      <c r="C6" s="29">
        <v>332.32787158078401</v>
      </c>
      <c r="D6" s="30">
        <v>0.36018726543562463</v>
      </c>
      <c r="E6" s="31">
        <v>60</v>
      </c>
      <c r="F6" s="28">
        <v>753.66044644711405</v>
      </c>
      <c r="G6" s="29">
        <v>436.41786331173398</v>
      </c>
      <c r="H6" s="30">
        <v>0.57906430590736635</v>
      </c>
      <c r="I6" s="31">
        <v>50</v>
      </c>
      <c r="J6" s="28">
        <v>390.233981379059</v>
      </c>
      <c r="K6" s="29">
        <v>224.985676495121</v>
      </c>
      <c r="L6" s="30">
        <v>0.57654045324304581</v>
      </c>
      <c r="M6" s="31">
        <v>16</v>
      </c>
      <c r="N6" s="28">
        <v>791.36244467243205</v>
      </c>
      <c r="O6" s="29">
        <v>229.264605903008</v>
      </c>
      <c r="P6" s="30">
        <v>0.28970872631933814</v>
      </c>
      <c r="Q6" s="31">
        <v>126</v>
      </c>
      <c r="R6" s="26"/>
      <c r="S6" s="26"/>
      <c r="T6" s="26"/>
    </row>
    <row r="7" spans="1:20" ht="19.5" customHeight="1" x14ac:dyDescent="0.25">
      <c r="A7" s="27" t="s">
        <v>12</v>
      </c>
      <c r="B7" s="28">
        <v>701.67839421755002</v>
      </c>
      <c r="C7" s="29">
        <v>148.39826917958601</v>
      </c>
      <c r="D7" s="30">
        <v>0.21149043550794619</v>
      </c>
      <c r="E7" s="31">
        <v>110</v>
      </c>
      <c r="F7" s="28">
        <v>531.29103954651998</v>
      </c>
      <c r="G7" s="29">
        <v>140.26793156010299</v>
      </c>
      <c r="H7" s="30">
        <v>0.26401335825243311</v>
      </c>
      <c r="I7" s="31">
        <v>68</v>
      </c>
      <c r="J7" s="28">
        <v>786.36441169992599</v>
      </c>
      <c r="K7" s="29">
        <v>490.271461504851</v>
      </c>
      <c r="L7" s="30">
        <v>0.6234659837224894</v>
      </c>
      <c r="M7" s="31">
        <v>11</v>
      </c>
      <c r="N7" s="28">
        <v>615.87834294002903</v>
      </c>
      <c r="O7" s="29">
        <v>106.83508539593301</v>
      </c>
      <c r="P7" s="30">
        <v>0.17346783925853362</v>
      </c>
      <c r="Q7" s="31">
        <v>189</v>
      </c>
      <c r="R7" s="26"/>
      <c r="S7" s="26"/>
      <c r="T7" s="26"/>
    </row>
    <row r="8" spans="1:20" ht="19.5" customHeight="1" x14ac:dyDescent="0.25">
      <c r="A8" s="27" t="s">
        <v>13</v>
      </c>
      <c r="B8" s="28">
        <v>680.54094063936304</v>
      </c>
      <c r="C8" s="29">
        <v>64.186944609553606</v>
      </c>
      <c r="D8" s="30">
        <v>9.4317535913784195E-2</v>
      </c>
      <c r="E8" s="31">
        <v>788</v>
      </c>
      <c r="F8" s="28">
        <v>370.02016487546501</v>
      </c>
      <c r="G8" s="29">
        <v>108.731239575781</v>
      </c>
      <c r="H8" s="30">
        <v>0.29385220022367126</v>
      </c>
      <c r="I8" s="31">
        <v>285</v>
      </c>
      <c r="J8" s="28">
        <v>178.98841532505199</v>
      </c>
      <c r="K8" s="29">
        <v>87.312216945218495</v>
      </c>
      <c r="L8" s="30">
        <v>0.48780931875761402</v>
      </c>
      <c r="M8" s="31">
        <v>33</v>
      </c>
      <c r="N8" s="28">
        <v>532.93704478004599</v>
      </c>
      <c r="O8" s="29">
        <v>81.184701999576205</v>
      </c>
      <c r="P8" s="30">
        <v>0.15233450703934981</v>
      </c>
      <c r="Q8" s="31">
        <v>1106</v>
      </c>
      <c r="R8" s="26"/>
      <c r="S8" s="26"/>
      <c r="T8" s="26"/>
    </row>
    <row r="9" spans="1:20" ht="19.5" customHeight="1" x14ac:dyDescent="0.25">
      <c r="A9" s="27" t="s">
        <v>14</v>
      </c>
      <c r="B9" s="28">
        <v>252.27060701864701</v>
      </c>
      <c r="C9" s="29">
        <v>43.548025095432301</v>
      </c>
      <c r="D9" s="30">
        <v>0.17262425301974785</v>
      </c>
      <c r="E9" s="31">
        <v>342</v>
      </c>
      <c r="F9" s="28">
        <v>238.32631495831799</v>
      </c>
      <c r="G9" s="29">
        <v>71.144233249061699</v>
      </c>
      <c r="H9" s="30">
        <v>0.29851606299331424</v>
      </c>
      <c r="I9" s="31">
        <v>128</v>
      </c>
      <c r="J9" s="28">
        <v>193.69373375233701</v>
      </c>
      <c r="K9" s="29">
        <v>25.189611219941401</v>
      </c>
      <c r="L9" s="30">
        <v>0.13004866358841347</v>
      </c>
      <c r="M9" s="31">
        <v>18</v>
      </c>
      <c r="N9" s="28">
        <v>244.80231524184001</v>
      </c>
      <c r="O9" s="29">
        <v>35.917515880525499</v>
      </c>
      <c r="P9" s="30">
        <v>0.14672049096040049</v>
      </c>
      <c r="Q9" s="31">
        <v>488</v>
      </c>
      <c r="R9" s="26"/>
      <c r="S9" s="26"/>
      <c r="T9" s="26"/>
    </row>
    <row r="10" spans="1:20" ht="19.5" customHeight="1" x14ac:dyDescent="0.25">
      <c r="A10" s="27" t="s">
        <v>15</v>
      </c>
      <c r="B10" s="28">
        <v>1226.0793669918501</v>
      </c>
      <c r="C10" s="29">
        <v>734.40862711171201</v>
      </c>
      <c r="D10" s="30">
        <v>0.59898946747106763</v>
      </c>
      <c r="E10" s="31">
        <v>226</v>
      </c>
      <c r="F10" s="28">
        <v>343.61399328507798</v>
      </c>
      <c r="G10" s="29">
        <v>53.291350152889699</v>
      </c>
      <c r="H10" s="30">
        <v>0.15509074483086241</v>
      </c>
      <c r="I10" s="31">
        <v>133</v>
      </c>
      <c r="J10" s="28">
        <v>81.847318002537705</v>
      </c>
      <c r="K10" s="29">
        <v>29.164431551038302</v>
      </c>
      <c r="L10" s="30">
        <v>0.35632727208158549</v>
      </c>
      <c r="M10" s="31">
        <v>11</v>
      </c>
      <c r="N10" s="28">
        <v>893.54649367938703</v>
      </c>
      <c r="O10" s="29">
        <v>514.50960880575201</v>
      </c>
      <c r="P10" s="30">
        <v>0.57580619748966633</v>
      </c>
      <c r="Q10" s="31">
        <v>370</v>
      </c>
      <c r="R10" s="26"/>
      <c r="S10" s="26"/>
      <c r="T10" s="26"/>
    </row>
    <row r="11" spans="1:20" ht="19.5" customHeight="1" x14ac:dyDescent="0.25">
      <c r="A11" s="27" t="s">
        <v>16</v>
      </c>
      <c r="B11" s="28">
        <v>221.06197584570501</v>
      </c>
      <c r="C11" s="29">
        <v>40.495437228531102</v>
      </c>
      <c r="D11" s="30">
        <v>0.18318590102893031</v>
      </c>
      <c r="E11" s="31">
        <v>219</v>
      </c>
      <c r="F11" s="28">
        <v>214.07417182667001</v>
      </c>
      <c r="G11" s="29">
        <v>92.031463141921193</v>
      </c>
      <c r="H11" s="30">
        <v>0.42990456231420832</v>
      </c>
      <c r="I11" s="31">
        <v>113</v>
      </c>
      <c r="J11" s="28">
        <v>632.76716368428299</v>
      </c>
      <c r="K11" s="29">
        <v>364.789565412927</v>
      </c>
      <c r="L11" s="30">
        <v>0.57649888671362459</v>
      </c>
      <c r="M11" s="31">
        <v>11</v>
      </c>
      <c r="N11" s="28">
        <v>221.655687141572</v>
      </c>
      <c r="O11" s="29">
        <v>38.543705124610199</v>
      </c>
      <c r="P11" s="30">
        <v>0.17388998956743323</v>
      </c>
      <c r="Q11" s="31">
        <v>343</v>
      </c>
      <c r="R11" s="26"/>
      <c r="S11" s="26"/>
      <c r="T11" s="26"/>
    </row>
    <row r="12" spans="1:20" ht="19.5" customHeight="1" x14ac:dyDescent="0.25">
      <c r="A12" s="27" t="s">
        <v>17</v>
      </c>
      <c r="B12" s="28">
        <v>213.21756751157901</v>
      </c>
      <c r="C12" s="29">
        <v>39.724772572923598</v>
      </c>
      <c r="D12" s="30">
        <v>0.18631097351190962</v>
      </c>
      <c r="E12" s="31">
        <v>485</v>
      </c>
      <c r="F12" s="28">
        <v>240.15466998628199</v>
      </c>
      <c r="G12" s="29">
        <v>35.990280724502597</v>
      </c>
      <c r="H12" s="30">
        <v>0.14986292261798789</v>
      </c>
      <c r="I12" s="31">
        <v>513</v>
      </c>
      <c r="J12" s="28">
        <v>125.558807919142</v>
      </c>
      <c r="K12" s="29">
        <v>32.5883804691534</v>
      </c>
      <c r="L12" s="30">
        <v>0.25954674952106771</v>
      </c>
      <c r="M12" s="31">
        <v>63</v>
      </c>
      <c r="N12" s="28">
        <v>220.17568321236701</v>
      </c>
      <c r="O12" s="29">
        <v>27.1095553101725</v>
      </c>
      <c r="P12" s="30">
        <v>0.12312692716399751</v>
      </c>
      <c r="Q12" s="31">
        <v>1061</v>
      </c>
      <c r="R12" s="26"/>
      <c r="S12" s="26"/>
      <c r="T12" s="26"/>
    </row>
    <row r="13" spans="1:20" ht="19.5" customHeight="1" x14ac:dyDescent="0.25">
      <c r="A13" s="27" t="s">
        <v>18</v>
      </c>
      <c r="B13" s="28">
        <v>331.24441643909199</v>
      </c>
      <c r="C13" s="29">
        <v>94.114714928167302</v>
      </c>
      <c r="D13" s="30">
        <v>0.28412468333778773</v>
      </c>
      <c r="E13" s="31">
        <v>95</v>
      </c>
      <c r="F13" s="28">
        <v>259.11356442227799</v>
      </c>
      <c r="G13" s="29">
        <v>60.260249979326296</v>
      </c>
      <c r="H13" s="30">
        <v>0.2325630852776199</v>
      </c>
      <c r="I13" s="31">
        <v>121</v>
      </c>
      <c r="J13" s="28">
        <v>450.18671254851898</v>
      </c>
      <c r="K13" s="29">
        <v>159.45131007335101</v>
      </c>
      <c r="L13" s="30">
        <v>0.35418928553153622</v>
      </c>
      <c r="M13" s="31">
        <v>13</v>
      </c>
      <c r="N13" s="28">
        <v>295.15807884519802</v>
      </c>
      <c r="O13" s="29">
        <v>47.803946082597598</v>
      </c>
      <c r="P13" s="30">
        <v>0.16196048663018098</v>
      </c>
      <c r="Q13" s="31">
        <v>229</v>
      </c>
      <c r="R13" s="26"/>
      <c r="S13" s="26"/>
      <c r="T13" s="26"/>
    </row>
    <row r="14" spans="1:20" ht="19.5" customHeight="1" x14ac:dyDescent="0.25">
      <c r="A14" s="27" t="s">
        <v>19</v>
      </c>
      <c r="B14" s="32">
        <v>186.243958349476</v>
      </c>
      <c r="C14" s="33">
        <v>24.3584658602364</v>
      </c>
      <c r="D14" s="30">
        <v>0.13078795186756689</v>
      </c>
      <c r="E14" s="31">
        <v>25</v>
      </c>
      <c r="F14" s="32">
        <v>68.215380441449398</v>
      </c>
      <c r="G14" s="33">
        <v>12.5126201463003</v>
      </c>
      <c r="H14" s="30">
        <v>0.18342813695864568</v>
      </c>
      <c r="I14" s="31">
        <v>24</v>
      </c>
      <c r="J14" s="32">
        <v>63.118421554565401</v>
      </c>
      <c r="K14" s="33">
        <v>21.5157554598531</v>
      </c>
      <c r="L14" s="30">
        <v>0.34087917488958258</v>
      </c>
      <c r="M14" s="31">
        <v>1</v>
      </c>
      <c r="N14" s="32">
        <v>95.981469323279796</v>
      </c>
      <c r="O14" s="33">
        <v>21.5544833127821</v>
      </c>
      <c r="P14" s="30">
        <v>0.22456921596171245</v>
      </c>
      <c r="Q14" s="31">
        <v>50</v>
      </c>
      <c r="R14" s="26"/>
      <c r="S14" s="26"/>
      <c r="T14" s="26"/>
    </row>
    <row r="15" spans="1:20" ht="19.5" customHeight="1" thickBot="1" x14ac:dyDescent="0.3">
      <c r="A15" s="27" t="s">
        <v>20</v>
      </c>
      <c r="B15" s="32">
        <v>517.42520281293901</v>
      </c>
      <c r="C15" s="34">
        <v>258.92327391984497</v>
      </c>
      <c r="D15" s="30">
        <v>0.50040715549267833</v>
      </c>
      <c r="E15" s="31">
        <v>15</v>
      </c>
      <c r="F15" s="32">
        <v>37.876521211903103</v>
      </c>
      <c r="G15" s="34">
        <v>32.045090739788797</v>
      </c>
      <c r="H15" s="30">
        <v>0.84604102263008996</v>
      </c>
      <c r="I15" s="31">
        <v>9</v>
      </c>
      <c r="J15" s="32">
        <v>21.0166473865509</v>
      </c>
      <c r="K15" s="34">
        <v>2.7744652750935601</v>
      </c>
      <c r="L15" s="30">
        <v>0.13201274323463277</v>
      </c>
      <c r="M15" s="31">
        <v>1</v>
      </c>
      <c r="N15" s="32">
        <v>325.28233587068098</v>
      </c>
      <c r="O15" s="34">
        <v>199.84734239211099</v>
      </c>
      <c r="P15" s="30">
        <v>0.6143811709208894</v>
      </c>
      <c r="Q15" s="31">
        <v>25</v>
      </c>
      <c r="R15" s="26"/>
      <c r="S15" s="26"/>
      <c r="T15" s="26"/>
    </row>
    <row r="16" spans="1:20" ht="24.75" customHeight="1" thickTop="1" x14ac:dyDescent="0.25">
      <c r="A16" s="35" t="s">
        <v>4</v>
      </c>
      <c r="B16" s="36">
        <v>359.38993245356102</v>
      </c>
      <c r="C16" s="37">
        <v>45.902362124362398</v>
      </c>
      <c r="D16" s="38">
        <v>0.12772300495727917</v>
      </c>
      <c r="E16" s="39">
        <v>2983</v>
      </c>
      <c r="F16" s="36">
        <v>288.27014747741498</v>
      </c>
      <c r="G16" s="37">
        <v>29.3873373794871</v>
      </c>
      <c r="H16" s="38">
        <v>0.10194374144062039</v>
      </c>
      <c r="I16" s="39">
        <v>1790</v>
      </c>
      <c r="J16" s="36">
        <v>229.889299339856</v>
      </c>
      <c r="K16" s="37">
        <v>41.805135753750399</v>
      </c>
      <c r="L16" s="38">
        <v>0.1818489850279979</v>
      </c>
      <c r="M16" s="39">
        <v>208</v>
      </c>
      <c r="N16" s="36">
        <v>326.78056020046103</v>
      </c>
      <c r="O16" s="37">
        <v>29.199062302034601</v>
      </c>
      <c r="P16" s="38">
        <v>8.9353731091355804E-2</v>
      </c>
      <c r="Q16" s="39">
        <v>4981</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5" t="s">
        <v>52</v>
      </c>
      <c r="B18" s="17" t="str">
        <f>"Mittlere "&amp;$A$3&amp;" in m2"</f>
        <v>Mittlere fen_fl [m²] in m2</v>
      </c>
      <c r="C18" s="18" t="s">
        <v>56</v>
      </c>
      <c r="D18" s="18" t="s">
        <v>8</v>
      </c>
      <c r="E18" s="19" t="s">
        <v>9</v>
      </c>
      <c r="F18" s="17" t="str">
        <f>"Mittlere "&amp;$A$3&amp;" in m2"</f>
        <v>Mittlere fen_fl [m²] in m2</v>
      </c>
      <c r="G18" s="18" t="s">
        <v>57</v>
      </c>
      <c r="H18" s="18" t="s">
        <v>8</v>
      </c>
      <c r="I18" s="19" t="s">
        <v>9</v>
      </c>
      <c r="J18" s="17" t="str">
        <f>"Mittlere "&amp;$A$3&amp;" in m2"</f>
        <v>Mittlere fen_fl [m²] in m2</v>
      </c>
      <c r="K18" s="18" t="s">
        <v>57</v>
      </c>
      <c r="L18" s="18" t="s">
        <v>8</v>
      </c>
      <c r="M18" s="20" t="s">
        <v>9</v>
      </c>
      <c r="N18" s="17" t="str">
        <f>"Mittlere "&amp;$A$3&amp;" in m2"</f>
        <v>Mittlere fen_fl [m²] in m2</v>
      </c>
      <c r="O18" s="18" t="s">
        <v>57</v>
      </c>
      <c r="P18" s="18" t="s">
        <v>8</v>
      </c>
      <c r="Q18" s="19" t="s">
        <v>9</v>
      </c>
    </row>
    <row r="19" spans="1:20" ht="19.5" customHeight="1" x14ac:dyDescent="0.25">
      <c r="A19" s="50" t="s">
        <v>59</v>
      </c>
      <c r="B19" s="32">
        <v>434.239874830796</v>
      </c>
      <c r="C19" s="33">
        <v>66.050901447180095</v>
      </c>
      <c r="D19" s="24">
        <v>0.15210694658779828</v>
      </c>
      <c r="E19" s="25">
        <v>2458</v>
      </c>
      <c r="F19" s="32">
        <v>350.60623010631002</v>
      </c>
      <c r="G19" s="33">
        <v>46.716910429532902</v>
      </c>
      <c r="H19" s="24">
        <v>0.13324609324645345</v>
      </c>
      <c r="I19" s="25">
        <v>1244</v>
      </c>
      <c r="J19" s="32">
        <v>308.82927232684102</v>
      </c>
      <c r="K19" s="33">
        <v>67.119848238225302</v>
      </c>
      <c r="L19" s="24">
        <v>0.2173364193507889</v>
      </c>
      <c r="M19" s="25">
        <v>143</v>
      </c>
      <c r="N19" s="32">
        <v>399.77371720520398</v>
      </c>
      <c r="O19" s="33">
        <v>43.7579288620177</v>
      </c>
      <c r="P19" s="24">
        <v>0.10945674259910573</v>
      </c>
      <c r="Q19" s="25">
        <v>3845</v>
      </c>
      <c r="R19" s="26"/>
      <c r="S19" s="26"/>
      <c r="T19" s="26"/>
    </row>
    <row r="20" spans="1:20" ht="19.5" customHeight="1" thickBot="1" x14ac:dyDescent="0.3">
      <c r="A20" s="51" t="s">
        <v>60</v>
      </c>
      <c r="B20" s="32">
        <v>222.47778334403</v>
      </c>
      <c r="C20" s="34">
        <v>38.439500129628399</v>
      </c>
      <c r="D20" s="30">
        <v>0.17277905034763505</v>
      </c>
      <c r="E20" s="31">
        <v>525</v>
      </c>
      <c r="F20" s="32">
        <v>208.103437335857</v>
      </c>
      <c r="G20" s="34">
        <v>30.447701604236102</v>
      </c>
      <c r="H20" s="30">
        <v>0.1463104213655862</v>
      </c>
      <c r="I20" s="31">
        <v>546</v>
      </c>
      <c r="J20" s="32">
        <v>120.369921721449</v>
      </c>
      <c r="K20" s="34">
        <v>30.110663575643802</v>
      </c>
      <c r="L20" s="30">
        <v>0.25015106053922365</v>
      </c>
      <c r="M20" s="31">
        <v>65</v>
      </c>
      <c r="N20" s="32">
        <v>211.91613250125599</v>
      </c>
      <c r="O20" s="34">
        <v>25.070100419182602</v>
      </c>
      <c r="P20" s="30">
        <v>0.11830199109090488</v>
      </c>
      <c r="Q20" s="31">
        <v>1136</v>
      </c>
      <c r="R20" s="26"/>
      <c r="S20" s="26"/>
      <c r="T20" s="26"/>
    </row>
    <row r="21" spans="1:20" ht="24.75" customHeight="1" thickTop="1" x14ac:dyDescent="0.25">
      <c r="A21" s="35" t="s">
        <v>4</v>
      </c>
      <c r="B21" s="36">
        <v>359.38993245356102</v>
      </c>
      <c r="C21" s="37">
        <v>45.902362124362398</v>
      </c>
      <c r="D21" s="38">
        <v>0.12772300495727917</v>
      </c>
      <c r="E21" s="39">
        <v>2983</v>
      </c>
      <c r="F21" s="36">
        <v>288.27014747741498</v>
      </c>
      <c r="G21" s="37">
        <v>29.3873373794871</v>
      </c>
      <c r="H21" s="38">
        <v>0.10194374144062039</v>
      </c>
      <c r="I21" s="39">
        <v>1790</v>
      </c>
      <c r="J21" s="36">
        <v>229.889299339856</v>
      </c>
      <c r="K21" s="37">
        <v>41.805135753750399</v>
      </c>
      <c r="L21" s="38">
        <v>0.1818489850279979</v>
      </c>
      <c r="M21" s="39">
        <v>208</v>
      </c>
      <c r="N21" s="36">
        <v>326.78056020046103</v>
      </c>
      <c r="O21" s="37">
        <v>29.199062302034601</v>
      </c>
      <c r="P21" s="38">
        <v>8.9353731091355804E-2</v>
      </c>
      <c r="Q21" s="39">
        <v>4981</v>
      </c>
    </row>
    <row r="22" spans="1:20" ht="16.5" customHeight="1" x14ac:dyDescent="0.25">
      <c r="A22" s="40"/>
      <c r="B22" s="41"/>
      <c r="C22" s="41"/>
      <c r="D22" s="41"/>
      <c r="E22" s="41"/>
      <c r="F22" s="41"/>
      <c r="G22" s="41"/>
      <c r="H22" s="41"/>
      <c r="I22" s="41"/>
      <c r="J22" s="41"/>
      <c r="K22" s="41"/>
      <c r="L22" s="41"/>
      <c r="M22" s="41"/>
      <c r="N22" s="41"/>
      <c r="O22" s="41"/>
      <c r="P22" s="41"/>
      <c r="Q22" s="41"/>
    </row>
    <row r="23" spans="1:20" x14ac:dyDescent="0.25">
      <c r="A23" s="40" t="s">
        <v>61</v>
      </c>
      <c r="B23" s="44" t="s">
        <v>26</v>
      </c>
      <c r="C23" s="4" t="s">
        <v>62</v>
      </c>
    </row>
    <row r="24" spans="1:20" x14ac:dyDescent="0.25">
      <c r="A24" s="40"/>
      <c r="B24" s="45" t="s">
        <v>28</v>
      </c>
      <c r="C24" s="4" t="s">
        <v>63</v>
      </c>
    </row>
    <row r="25" spans="1:20" x14ac:dyDescent="0.25">
      <c r="A25" s="154" t="s">
        <v>240</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conditionalFormatting sqref="M5:M16">
    <cfRule type="expression" dxfId="661" priority="56">
      <formula>M5&lt;=1</formula>
    </cfRule>
  </conditionalFormatting>
  <conditionalFormatting sqref="L5:L16">
    <cfRule type="expression" dxfId="660" priority="52">
      <formula>OR(L5&gt;=0.5,M5&lt;=5)</formula>
    </cfRule>
    <cfRule type="expression" dxfId="659" priority="55">
      <formula>M5&lt;=1</formula>
    </cfRule>
  </conditionalFormatting>
  <conditionalFormatting sqref="K5:K16">
    <cfRule type="expression" dxfId="658" priority="51">
      <formula>OR(L5&gt;=0.5,M5&lt;=5)</formula>
    </cfRule>
    <cfRule type="expression" dxfId="657" priority="54">
      <formula>M5&lt;=1</formula>
    </cfRule>
  </conditionalFormatting>
  <conditionalFormatting sqref="Q5:Q16">
    <cfRule type="expression" dxfId="656" priority="49">
      <formula>Q5&lt;=1</formula>
    </cfRule>
  </conditionalFormatting>
  <conditionalFormatting sqref="P5:P16">
    <cfRule type="expression" dxfId="655" priority="45">
      <formula>OR(P5&gt;=0.5,Q5&lt;=5)</formula>
    </cfRule>
    <cfRule type="expression" dxfId="654" priority="48">
      <formula>Q5&lt;=1</formula>
    </cfRule>
  </conditionalFormatting>
  <conditionalFormatting sqref="O5:O16">
    <cfRule type="expression" dxfId="653" priority="44">
      <formula>OR(P5&gt;=0.5,Q5&lt;=5)</formula>
    </cfRule>
    <cfRule type="expression" dxfId="652" priority="47">
      <formula>Q5&lt;=1</formula>
    </cfRule>
  </conditionalFormatting>
  <conditionalFormatting sqref="E5:E16">
    <cfRule type="expression" dxfId="651" priority="42">
      <formula>E5&lt;=1</formula>
    </cfRule>
  </conditionalFormatting>
  <conditionalFormatting sqref="D5:D16">
    <cfRule type="expression" dxfId="650" priority="38">
      <formula>OR(D5&gt;=0.5,E5&lt;=5)</formula>
    </cfRule>
    <cfRule type="expression" dxfId="649" priority="41">
      <formula>E5&lt;=1</formula>
    </cfRule>
  </conditionalFormatting>
  <conditionalFormatting sqref="C5:C16">
    <cfRule type="expression" dxfId="648" priority="37">
      <formula>OR(D5&gt;=0.5,E5&lt;=5)</formula>
    </cfRule>
    <cfRule type="expression" dxfId="647" priority="40">
      <formula>E5&lt;=1</formula>
    </cfRule>
  </conditionalFormatting>
  <conditionalFormatting sqref="I5:I16">
    <cfRule type="expression" dxfId="646" priority="35">
      <formula>I5&lt;=1</formula>
    </cfRule>
  </conditionalFormatting>
  <conditionalFormatting sqref="H5:H16">
    <cfRule type="expression" dxfId="645" priority="31">
      <formula>OR(H5&gt;=0.5,I5&lt;=5)</formula>
    </cfRule>
    <cfRule type="expression" dxfId="644" priority="34">
      <formula>I5&lt;=1</formula>
    </cfRule>
  </conditionalFormatting>
  <conditionalFormatting sqref="G5:G16">
    <cfRule type="expression" dxfId="643" priority="30">
      <formula>OR(H5&gt;=0.5,I5&lt;=5)</formula>
    </cfRule>
    <cfRule type="expression" dxfId="642" priority="33">
      <formula>I5&lt;=1</formula>
    </cfRule>
  </conditionalFormatting>
  <conditionalFormatting sqref="J5:J16">
    <cfRule type="expression" dxfId="641" priority="50">
      <formula>OR(L5&gt;=0.5,M5&lt;=5)</formula>
    </cfRule>
    <cfRule type="expression" dxfId="640" priority="53">
      <formula>M5&lt;=1</formula>
    </cfRule>
  </conditionalFormatting>
  <conditionalFormatting sqref="N5:N16">
    <cfRule type="expression" dxfId="639" priority="43">
      <formula>OR(P5&gt;=0.5,Q5&lt;=5)</formula>
    </cfRule>
    <cfRule type="expression" dxfId="638" priority="46">
      <formula>Q5&lt;=1</formula>
    </cfRule>
  </conditionalFormatting>
  <conditionalFormatting sqref="B5:B16">
    <cfRule type="expression" dxfId="637" priority="36">
      <formula>OR(D5&gt;=0.5,E5&lt;=5)</formula>
    </cfRule>
    <cfRule type="expression" dxfId="636" priority="39">
      <formula>E5&lt;=1</formula>
    </cfRule>
  </conditionalFormatting>
  <conditionalFormatting sqref="F5:F16">
    <cfRule type="expression" dxfId="635" priority="29">
      <formula>OR(H5&gt;=0.5,I5&lt;=5)</formula>
    </cfRule>
    <cfRule type="expression" dxfId="634" priority="32">
      <formula>I5&lt;=1</formula>
    </cfRule>
  </conditionalFormatting>
  <conditionalFormatting sqref="M19:M20">
    <cfRule type="expression" dxfId="633" priority="12">
      <formula>M19&lt;=1</formula>
    </cfRule>
  </conditionalFormatting>
  <conditionalFormatting sqref="Q19:Q20">
    <cfRule type="expression" dxfId="632" priority="5">
      <formula>Q19&lt;=1</formula>
    </cfRule>
  </conditionalFormatting>
  <conditionalFormatting sqref="D19:D20">
    <cfRule type="expression" dxfId="631" priority="27">
      <formula>OR(D19&gt;=0.5,E19&lt;=5)</formula>
    </cfRule>
    <cfRule type="expression" dxfId="630" priority="28">
      <formula>E19&lt;=1</formula>
    </cfRule>
  </conditionalFormatting>
  <conditionalFormatting sqref="E19:E20">
    <cfRule type="expression" dxfId="629" priority="26">
      <formula>E19&lt;=1</formula>
    </cfRule>
  </conditionalFormatting>
  <conditionalFormatting sqref="C19:C20">
    <cfRule type="expression" dxfId="628" priority="23">
      <formula>OR(D19&gt;=0.5,E19&lt;=5)</formula>
    </cfRule>
    <cfRule type="expression" dxfId="627" priority="25">
      <formula>E19&lt;=1</formula>
    </cfRule>
  </conditionalFormatting>
  <conditionalFormatting sqref="B19:B20">
    <cfRule type="expression" dxfId="626" priority="22">
      <formula>OR(D19&gt;=0.5,E19&lt;=5)</formula>
    </cfRule>
    <cfRule type="expression" dxfId="625" priority="24">
      <formula>E19&lt;=1</formula>
    </cfRule>
  </conditionalFormatting>
  <conditionalFormatting sqref="H19:H20">
    <cfRule type="expression" dxfId="624" priority="20">
      <formula>OR(H19&gt;=0.5,I19&lt;=5)</formula>
    </cfRule>
    <cfRule type="expression" dxfId="623" priority="21">
      <formula>I19&lt;=1</formula>
    </cfRule>
  </conditionalFormatting>
  <conditionalFormatting sqref="I19:I20">
    <cfRule type="expression" dxfId="622" priority="19">
      <formula>I19&lt;=1</formula>
    </cfRule>
  </conditionalFormatting>
  <conditionalFormatting sqref="G19:G20">
    <cfRule type="expression" dxfId="621" priority="16">
      <formula>OR(H19&gt;=0.5,I19&lt;=5)</formula>
    </cfRule>
    <cfRule type="expression" dxfId="620" priority="18">
      <formula>I19&lt;=1</formula>
    </cfRule>
  </conditionalFormatting>
  <conditionalFormatting sqref="F19:F20">
    <cfRule type="expression" dxfId="619" priority="15">
      <formula>OR(H19&gt;=0.5,I19&lt;=5)</formula>
    </cfRule>
    <cfRule type="expression" dxfId="618" priority="17">
      <formula>I19&lt;=1</formula>
    </cfRule>
  </conditionalFormatting>
  <conditionalFormatting sqref="L19:L20">
    <cfRule type="expression" dxfId="617" priority="13">
      <formula>OR(L19&gt;=0.5,M19&lt;=5)</formula>
    </cfRule>
    <cfRule type="expression" dxfId="616" priority="14">
      <formula>M19&lt;=1</formula>
    </cfRule>
  </conditionalFormatting>
  <conditionalFormatting sqref="K19:K20">
    <cfRule type="expression" dxfId="615" priority="9">
      <formula>OR(L19&gt;=0.5,M19&lt;=5)</formula>
    </cfRule>
    <cfRule type="expression" dxfId="614" priority="11">
      <formula>M19&lt;=1</formula>
    </cfRule>
  </conditionalFormatting>
  <conditionalFormatting sqref="J19:J20">
    <cfRule type="expression" dxfId="613" priority="8">
      <formula>OR(L19&gt;=0.5,M19&lt;=5)</formula>
    </cfRule>
    <cfRule type="expression" dxfId="612" priority="10">
      <formula>M19&lt;=1</formula>
    </cfRule>
  </conditionalFormatting>
  <conditionalFormatting sqref="P19:P20">
    <cfRule type="expression" dxfId="611" priority="6">
      <formula>OR(P19&gt;=0.5,Q19&lt;=5)</formula>
    </cfRule>
    <cfRule type="expression" dxfId="610" priority="7">
      <formula>Q19&lt;=1</formula>
    </cfRule>
  </conditionalFormatting>
  <conditionalFormatting sqref="O19:O20">
    <cfRule type="expression" dxfId="609" priority="2">
      <formula>OR(P19&gt;=0.5,Q19&lt;=5)</formula>
    </cfRule>
    <cfRule type="expression" dxfId="608" priority="4">
      <formula>Q19&lt;=1</formula>
    </cfRule>
  </conditionalFormatting>
  <conditionalFormatting sqref="N19:N20">
    <cfRule type="expression" dxfId="607" priority="1">
      <formula>OR(P19&gt;=0.5,Q19&lt;=5)</formula>
    </cfRule>
    <cfRule type="expression" dxfId="606" priority="3">
      <formula>Q19&lt;=1</formula>
    </cfRule>
  </conditionalFormatting>
  <hyperlinks>
    <hyperlink ref="A25" location="Überblick!A1" display="zurück zur Übersicht" xr:uid="{9F4C79C1-F05C-40AA-86D8-0BF71F73DED7}"/>
  </hyperlinks>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0C8AE-1945-40DB-BA2C-905C7566DC64}">
  <sheetPr codeName="Tabelle9"/>
  <dimension ref="A1:T29"/>
  <sheetViews>
    <sheetView showGridLines="0" zoomScaleNormal="10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"1.3.16. "&amp;A2&amp;" ("&amp;A3&amp;") für alle GEG-relevanten Nichtwohngebäude nach Gebäude-Hauptfunktion und grober Gebäude-Baualtersklasse (Breitenerhebung)"</f>
        <v>1.3.16. Mittlere wärmeübertragende Fläche des opaken oberen Gebäudeabschlusses (D_fl_wueoA_opak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2" t="s">
        <v>67</v>
      </c>
      <c r="B2" s="6" t="s">
        <v>0</v>
      </c>
      <c r="C2" s="7"/>
      <c r="D2" s="7"/>
      <c r="E2" s="7"/>
      <c r="F2" s="7"/>
      <c r="G2" s="7"/>
      <c r="H2" s="7"/>
      <c r="I2" s="7"/>
      <c r="J2" s="7"/>
      <c r="K2" s="7"/>
      <c r="L2" s="7"/>
      <c r="M2" s="8"/>
      <c r="N2" s="9"/>
      <c r="O2" s="9"/>
      <c r="P2" s="7"/>
      <c r="Q2" s="10"/>
    </row>
    <row r="3" spans="1:20" ht="50.25" customHeight="1" x14ac:dyDescent="0.25">
      <c r="A3" s="52" t="s">
        <v>68</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f>
        <v>Mittlere D_fl_wueoA_opak [m²]</v>
      </c>
      <c r="C4" s="18" t="s">
        <v>56</v>
      </c>
      <c r="D4" s="18" t="s">
        <v>8</v>
      </c>
      <c r="E4" s="19" t="s">
        <v>9</v>
      </c>
      <c r="F4" s="17" t="str">
        <f>"Mittlere "&amp;$A$3</f>
        <v>Mittlere D_fl_wueoA_opak [m²]</v>
      </c>
      <c r="G4" s="18" t="s">
        <v>57</v>
      </c>
      <c r="H4" s="18" t="s">
        <v>8</v>
      </c>
      <c r="I4" s="19" t="s">
        <v>9</v>
      </c>
      <c r="J4" s="17" t="str">
        <f>"Mittlere "&amp;$A$3</f>
        <v>Mittlere D_fl_wueoA_opak [m²]</v>
      </c>
      <c r="K4" s="18" t="s">
        <v>57</v>
      </c>
      <c r="L4" s="18" t="s">
        <v>8</v>
      </c>
      <c r="M4" s="20" t="s">
        <v>9</v>
      </c>
      <c r="N4" s="17" t="str">
        <f>"Mittlere "&amp;$A$3</f>
        <v>Mittlere D_fl_wueoA_opak [m²]</v>
      </c>
      <c r="O4" s="18" t="s">
        <v>57</v>
      </c>
      <c r="P4" s="18" t="s">
        <v>8</v>
      </c>
      <c r="Q4" s="19" t="s">
        <v>9</v>
      </c>
    </row>
    <row r="5" spans="1:20" ht="19.5" customHeight="1" x14ac:dyDescent="0.25">
      <c r="A5" s="21" t="s">
        <v>10</v>
      </c>
      <c r="B5" s="53">
        <v>760.14415595568596</v>
      </c>
      <c r="C5" s="54">
        <v>220.541257420905</v>
      </c>
      <c r="D5" s="24">
        <v>0.29013083333335771</v>
      </c>
      <c r="E5" s="25">
        <v>626</v>
      </c>
      <c r="F5" s="53">
        <v>509.30153965152903</v>
      </c>
      <c r="G5" s="54">
        <v>85.059974822148902</v>
      </c>
      <c r="H5" s="24">
        <v>0.16701299367826</v>
      </c>
      <c r="I5" s="25">
        <v>347</v>
      </c>
      <c r="J5" s="53">
        <v>430.20255877125197</v>
      </c>
      <c r="K5" s="54">
        <v>120.06239581316601</v>
      </c>
      <c r="L5" s="24">
        <v>0.27908340702595819</v>
      </c>
      <c r="M5" s="25">
        <v>29</v>
      </c>
      <c r="N5" s="53">
        <v>661.43752159231894</v>
      </c>
      <c r="O5" s="54">
        <v>140.898482688146</v>
      </c>
      <c r="P5" s="24">
        <v>0.21301858163255161</v>
      </c>
      <c r="Q5" s="25">
        <v>1002</v>
      </c>
      <c r="R5" s="26"/>
      <c r="S5" s="26"/>
      <c r="T5" s="26"/>
    </row>
    <row r="6" spans="1:20" ht="19.5" customHeight="1" x14ac:dyDescent="0.25">
      <c r="A6" s="27" t="s">
        <v>11</v>
      </c>
      <c r="B6" s="55">
        <v>1153.2104738806099</v>
      </c>
      <c r="C6" s="56">
        <v>410.00049584624497</v>
      </c>
      <c r="D6" s="30">
        <v>0.35552963238928376</v>
      </c>
      <c r="E6" s="31">
        <v>63</v>
      </c>
      <c r="F6" s="55">
        <v>741.851146843327</v>
      </c>
      <c r="G6" s="56">
        <v>396.77822813795098</v>
      </c>
      <c r="H6" s="30">
        <v>0.53484884376912256</v>
      </c>
      <c r="I6" s="31">
        <v>49</v>
      </c>
      <c r="J6" s="55">
        <v>1008.0252294729599</v>
      </c>
      <c r="K6" s="56">
        <v>107.496551514779</v>
      </c>
      <c r="L6" s="30">
        <v>0.10664073514408259</v>
      </c>
      <c r="M6" s="31">
        <v>16</v>
      </c>
      <c r="N6" s="55">
        <v>984.67154969352202</v>
      </c>
      <c r="O6" s="56">
        <v>246.916457183962</v>
      </c>
      <c r="P6" s="30">
        <v>0.2507602227979619</v>
      </c>
      <c r="Q6" s="31">
        <v>128</v>
      </c>
      <c r="R6" s="26"/>
      <c r="S6" s="26"/>
      <c r="T6" s="26"/>
    </row>
    <row r="7" spans="1:20" ht="19.5" customHeight="1" x14ac:dyDescent="0.25">
      <c r="A7" s="27" t="s">
        <v>12</v>
      </c>
      <c r="B7" s="55">
        <v>1154.7213069976101</v>
      </c>
      <c r="C7" s="56">
        <v>250.11917052223399</v>
      </c>
      <c r="D7" s="30">
        <v>0.21660565974362128</v>
      </c>
      <c r="E7" s="31">
        <v>110</v>
      </c>
      <c r="F7" s="55">
        <v>855.47621738454995</v>
      </c>
      <c r="G7" s="56">
        <v>218.00646398206001</v>
      </c>
      <c r="H7" s="30">
        <v>0.25483638183253282</v>
      </c>
      <c r="I7" s="31">
        <v>70</v>
      </c>
      <c r="J7" s="55">
        <v>848.58571454774801</v>
      </c>
      <c r="K7" s="56">
        <v>365.24348331691198</v>
      </c>
      <c r="L7" s="30">
        <v>0.43041436717040155</v>
      </c>
      <c r="M7" s="31">
        <v>13</v>
      </c>
      <c r="N7" s="55">
        <v>970.45524824780205</v>
      </c>
      <c r="O7" s="56">
        <v>164.670027337666</v>
      </c>
      <c r="P7" s="30">
        <v>0.1696832776524056</v>
      </c>
      <c r="Q7" s="31">
        <v>193</v>
      </c>
      <c r="R7" s="26"/>
      <c r="S7" s="26"/>
      <c r="T7" s="26"/>
    </row>
    <row r="8" spans="1:20" ht="19.5" customHeight="1" x14ac:dyDescent="0.25">
      <c r="A8" s="27" t="s">
        <v>13</v>
      </c>
      <c r="B8" s="55">
        <v>937.56222045663503</v>
      </c>
      <c r="C8" s="56">
        <v>79.081132865647504</v>
      </c>
      <c r="D8" s="30">
        <v>8.4347610366735368E-2</v>
      </c>
      <c r="E8" s="31">
        <v>795</v>
      </c>
      <c r="F8" s="55">
        <v>593.63632031541499</v>
      </c>
      <c r="G8" s="56">
        <v>178.18297669065001</v>
      </c>
      <c r="H8" s="30">
        <v>0.30015511280707452</v>
      </c>
      <c r="I8" s="31">
        <v>285</v>
      </c>
      <c r="J8" s="55">
        <v>401.06238711037298</v>
      </c>
      <c r="K8" s="56">
        <v>176.31167047456299</v>
      </c>
      <c r="L8" s="30">
        <v>0.43961158199071343</v>
      </c>
      <c r="M8" s="31">
        <v>32</v>
      </c>
      <c r="N8" s="55">
        <v>776.50607951589598</v>
      </c>
      <c r="O8" s="56">
        <v>110.156723587211</v>
      </c>
      <c r="P8" s="30">
        <v>0.14186202335452028</v>
      </c>
      <c r="Q8" s="31">
        <v>1112</v>
      </c>
      <c r="R8" s="26"/>
      <c r="S8" s="26"/>
      <c r="T8" s="26"/>
    </row>
    <row r="9" spans="1:20" ht="19.5" customHeight="1" x14ac:dyDescent="0.25">
      <c r="A9" s="27" t="s">
        <v>14</v>
      </c>
      <c r="B9" s="55">
        <v>432.36097340445701</v>
      </c>
      <c r="C9" s="56">
        <v>50.9959058238924</v>
      </c>
      <c r="D9" s="30">
        <v>0.11794752292822622</v>
      </c>
      <c r="E9" s="31">
        <v>347</v>
      </c>
      <c r="F9" s="55">
        <v>591.52333215317697</v>
      </c>
      <c r="G9" s="56">
        <v>151.43746024818699</v>
      </c>
      <c r="H9" s="30">
        <v>0.25601265751757657</v>
      </c>
      <c r="I9" s="31">
        <v>131</v>
      </c>
      <c r="J9" s="55">
        <v>212.57535944467801</v>
      </c>
      <c r="K9" s="56">
        <v>82.660427520102402</v>
      </c>
      <c r="L9" s="30">
        <v>0.3888523474030135</v>
      </c>
      <c r="M9" s="31">
        <v>19</v>
      </c>
      <c r="N9" s="55">
        <v>466.60586924369397</v>
      </c>
      <c r="O9" s="56">
        <v>59.483973227634202</v>
      </c>
      <c r="P9" s="30">
        <v>0.1274822653303736</v>
      </c>
      <c r="Q9" s="31">
        <v>497</v>
      </c>
      <c r="R9" s="26"/>
      <c r="S9" s="26"/>
      <c r="T9" s="26"/>
    </row>
    <row r="10" spans="1:20" ht="19.5" customHeight="1" x14ac:dyDescent="0.25">
      <c r="A10" s="27" t="s">
        <v>15</v>
      </c>
      <c r="B10" s="55">
        <v>1146.71279931858</v>
      </c>
      <c r="C10" s="56">
        <v>269.215447197559</v>
      </c>
      <c r="D10" s="30">
        <v>0.23477146793646761</v>
      </c>
      <c r="E10" s="31">
        <v>225</v>
      </c>
      <c r="F10" s="55">
        <v>1174.2470470845899</v>
      </c>
      <c r="G10" s="56">
        <v>173.70307577381899</v>
      </c>
      <c r="H10" s="30">
        <v>0.14792719828854367</v>
      </c>
      <c r="I10" s="31">
        <v>131</v>
      </c>
      <c r="J10" s="55">
        <v>482.914113751728</v>
      </c>
      <c r="K10" s="56">
        <v>189.63657046834999</v>
      </c>
      <c r="L10" s="30">
        <v>0.39269212696037387</v>
      </c>
      <c r="M10" s="31">
        <v>10</v>
      </c>
      <c r="N10" s="55">
        <v>1117.9767527460899</v>
      </c>
      <c r="O10" s="56">
        <v>190.14140067170999</v>
      </c>
      <c r="P10" s="30">
        <v>0.17007634568846361</v>
      </c>
      <c r="Q10" s="31">
        <v>366</v>
      </c>
      <c r="R10" s="26"/>
      <c r="S10" s="26"/>
      <c r="T10" s="26"/>
    </row>
    <row r="11" spans="1:20" ht="19.5" customHeight="1" x14ac:dyDescent="0.25">
      <c r="A11" s="27" t="s">
        <v>16</v>
      </c>
      <c r="B11" s="55">
        <v>276.86989892897799</v>
      </c>
      <c r="C11" s="56">
        <v>35.799246484892699</v>
      </c>
      <c r="D11" s="30">
        <v>0.12929988642093532</v>
      </c>
      <c r="E11" s="31">
        <v>223</v>
      </c>
      <c r="F11" s="55">
        <v>324.44897055804199</v>
      </c>
      <c r="G11" s="56">
        <v>133.469568735481</v>
      </c>
      <c r="H11" s="30">
        <v>0.41137306894799991</v>
      </c>
      <c r="I11" s="31">
        <v>114</v>
      </c>
      <c r="J11" s="55">
        <v>642.10138874853897</v>
      </c>
      <c r="K11" s="56">
        <v>167.54948868326201</v>
      </c>
      <c r="L11" s="30">
        <v>0.26093930276310007</v>
      </c>
      <c r="M11" s="31">
        <v>11</v>
      </c>
      <c r="N11" s="55">
        <v>290.68622812282302</v>
      </c>
      <c r="O11" s="56">
        <v>40.479559680926599</v>
      </c>
      <c r="P11" s="30">
        <v>0.13925516851050423</v>
      </c>
      <c r="Q11" s="31">
        <v>348</v>
      </c>
      <c r="R11" s="26"/>
      <c r="S11" s="26"/>
      <c r="T11" s="26"/>
    </row>
    <row r="12" spans="1:20" ht="19.5" customHeight="1" x14ac:dyDescent="0.25">
      <c r="A12" s="27" t="s">
        <v>17</v>
      </c>
      <c r="B12" s="55">
        <v>839.854143468149</v>
      </c>
      <c r="C12" s="56">
        <v>182.75666511595401</v>
      </c>
      <c r="D12" s="30">
        <v>0.21760524316908958</v>
      </c>
      <c r="E12" s="31">
        <v>496</v>
      </c>
      <c r="F12" s="55">
        <v>1362.28886076504</v>
      </c>
      <c r="G12" s="56">
        <v>265.55211408051798</v>
      </c>
      <c r="H12" s="30">
        <v>0.19493084156277113</v>
      </c>
      <c r="I12" s="31">
        <v>508</v>
      </c>
      <c r="J12" s="55">
        <v>856.80511190433197</v>
      </c>
      <c r="K12" s="56">
        <v>281.57273483233399</v>
      </c>
      <c r="L12" s="30">
        <v>0.32863101645893711</v>
      </c>
      <c r="M12" s="31">
        <v>64</v>
      </c>
      <c r="N12" s="55">
        <v>1052.55439504473</v>
      </c>
      <c r="O12" s="56">
        <v>149.97153359884399</v>
      </c>
      <c r="P12" s="30">
        <v>0.14248340447285929</v>
      </c>
      <c r="Q12" s="31">
        <v>1068</v>
      </c>
      <c r="R12" s="26"/>
      <c r="S12" s="26"/>
      <c r="T12" s="26"/>
    </row>
    <row r="13" spans="1:20" ht="19.5" customHeight="1" x14ac:dyDescent="0.25">
      <c r="A13" s="27" t="s">
        <v>18</v>
      </c>
      <c r="B13" s="55">
        <v>2609.4912477356402</v>
      </c>
      <c r="C13" s="56">
        <v>1640.60013886558</v>
      </c>
      <c r="D13" s="30">
        <v>0.62870497852376184</v>
      </c>
      <c r="E13" s="31">
        <v>102</v>
      </c>
      <c r="F13" s="55">
        <v>1524.5648579303499</v>
      </c>
      <c r="G13" s="56">
        <v>342.58511476923297</v>
      </c>
      <c r="H13" s="30">
        <v>0.22471009546573456</v>
      </c>
      <c r="I13" s="31">
        <v>122</v>
      </c>
      <c r="J13" s="55">
        <v>1644.5019466721001</v>
      </c>
      <c r="K13" s="56">
        <v>365.89079643979699</v>
      </c>
      <c r="L13" s="30">
        <v>0.22249337994414217</v>
      </c>
      <c r="M13" s="31">
        <v>14</v>
      </c>
      <c r="N13" s="55">
        <v>2070.5200606375502</v>
      </c>
      <c r="O13" s="56">
        <v>845.78567499214205</v>
      </c>
      <c r="P13" s="30">
        <v>0.40848948584043637</v>
      </c>
      <c r="Q13" s="31">
        <v>238</v>
      </c>
      <c r="R13" s="26"/>
      <c r="S13" s="26"/>
      <c r="T13" s="26"/>
    </row>
    <row r="14" spans="1:20" ht="19.5" customHeight="1" x14ac:dyDescent="0.25">
      <c r="A14" s="27" t="s">
        <v>19</v>
      </c>
      <c r="B14" s="57">
        <v>364.795655437672</v>
      </c>
      <c r="C14" s="58">
        <v>54.401155536932301</v>
      </c>
      <c r="D14" s="30">
        <v>0.14912775063525158</v>
      </c>
      <c r="E14" s="31">
        <v>26</v>
      </c>
      <c r="F14" s="57">
        <v>232.325689891135</v>
      </c>
      <c r="G14" s="58">
        <v>37.637163865210397</v>
      </c>
      <c r="H14" s="30">
        <v>0.16200173077220481</v>
      </c>
      <c r="I14" s="31">
        <v>25</v>
      </c>
      <c r="J14" s="57">
        <v>251.3175</v>
      </c>
      <c r="K14" s="58">
        <v>85.668902035315597</v>
      </c>
      <c r="L14" s="30">
        <v>0.34087917488959424</v>
      </c>
      <c r="M14" s="31">
        <v>1</v>
      </c>
      <c r="N14" s="57">
        <v>264.19675723400002</v>
      </c>
      <c r="O14" s="58">
        <v>36.597093415421703</v>
      </c>
      <c r="P14" s="30">
        <v>0.1385221143460422</v>
      </c>
      <c r="Q14" s="31">
        <v>52</v>
      </c>
      <c r="R14" s="26"/>
      <c r="S14" s="26"/>
      <c r="T14" s="26"/>
    </row>
    <row r="15" spans="1:20" ht="19.5" customHeight="1" thickBot="1" x14ac:dyDescent="0.3">
      <c r="A15" s="27" t="s">
        <v>20</v>
      </c>
      <c r="B15" s="57">
        <v>601.21390953187904</v>
      </c>
      <c r="C15" s="59">
        <v>214.515428489817</v>
      </c>
      <c r="D15" s="30">
        <v>0.3568038348561236</v>
      </c>
      <c r="E15" s="31">
        <v>15</v>
      </c>
      <c r="F15" s="57">
        <v>864.18614348455696</v>
      </c>
      <c r="G15" s="59">
        <v>93.078163542894998</v>
      </c>
      <c r="H15" s="30">
        <v>0.10770615132474444</v>
      </c>
      <c r="I15" s="31">
        <v>9</v>
      </c>
      <c r="J15" s="57">
        <v>254.73480000000001</v>
      </c>
      <c r="K15" s="59">
        <v>33.628239745278101</v>
      </c>
      <c r="L15" s="30">
        <v>0.13201274323444656</v>
      </c>
      <c r="M15" s="31">
        <v>1</v>
      </c>
      <c r="N15" s="57">
        <v>665.51497384729896</v>
      </c>
      <c r="O15" s="59">
        <v>139.02116438749499</v>
      </c>
      <c r="P15" s="30">
        <v>0.20889261677137427</v>
      </c>
      <c r="Q15" s="31">
        <v>25</v>
      </c>
      <c r="R15" s="26"/>
      <c r="S15" s="26"/>
      <c r="T15" s="26"/>
    </row>
    <row r="16" spans="1:20" ht="24.75" customHeight="1" thickTop="1" x14ac:dyDescent="0.25">
      <c r="A16" s="35" t="s">
        <v>4</v>
      </c>
      <c r="B16" s="60">
        <v>860.75025381447495</v>
      </c>
      <c r="C16" s="61">
        <v>155.787273025345</v>
      </c>
      <c r="D16" s="38">
        <v>0.18099009827178419</v>
      </c>
      <c r="E16" s="39">
        <v>3028</v>
      </c>
      <c r="F16" s="60">
        <v>950.74684274870697</v>
      </c>
      <c r="G16" s="61">
        <v>110.292127926104</v>
      </c>
      <c r="H16" s="38">
        <v>0.11600577879095356</v>
      </c>
      <c r="I16" s="39">
        <v>1791</v>
      </c>
      <c r="J16" s="60">
        <v>683.838739714913</v>
      </c>
      <c r="K16" s="61">
        <v>133.04303729839799</v>
      </c>
      <c r="L16" s="38">
        <v>0.19455323246802686</v>
      </c>
      <c r="M16" s="39">
        <v>210</v>
      </c>
      <c r="N16" s="62">
        <v>888.39844365670103</v>
      </c>
      <c r="O16" s="61">
        <v>101.276669091397</v>
      </c>
      <c r="P16" s="38">
        <v>0.1139991518608882</v>
      </c>
      <c r="Q16" s="39">
        <v>5029</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5" t="s">
        <v>69</v>
      </c>
      <c r="B18" s="17" t="s">
        <v>70</v>
      </c>
      <c r="C18" s="18" t="s">
        <v>36</v>
      </c>
      <c r="D18" s="18" t="s">
        <v>8</v>
      </c>
      <c r="E18" s="19" t="s">
        <v>9</v>
      </c>
      <c r="F18" s="17" t="s">
        <v>70</v>
      </c>
      <c r="G18" s="18" t="s">
        <v>37</v>
      </c>
      <c r="H18" s="18" t="s">
        <v>8</v>
      </c>
      <c r="I18" s="19" t="s">
        <v>9</v>
      </c>
      <c r="J18" s="17" t="s">
        <v>70</v>
      </c>
      <c r="K18" s="18" t="s">
        <v>37</v>
      </c>
      <c r="L18" s="18" t="s">
        <v>8</v>
      </c>
      <c r="M18" s="20" t="s">
        <v>9</v>
      </c>
      <c r="N18" s="17" t="s">
        <v>70</v>
      </c>
      <c r="O18" s="18" t="s">
        <v>37</v>
      </c>
      <c r="P18" s="18" t="s">
        <v>8</v>
      </c>
      <c r="Q18" s="19" t="s">
        <v>9</v>
      </c>
    </row>
    <row r="19" spans="1:20" ht="19.5" customHeight="1" x14ac:dyDescent="0.25">
      <c r="A19" s="21" t="s">
        <v>22</v>
      </c>
      <c r="B19" s="53">
        <v>886.82096814854697</v>
      </c>
      <c r="C19" s="54">
        <v>223.51173898992499</v>
      </c>
      <c r="D19" s="24">
        <v>0.25203704808261329</v>
      </c>
      <c r="E19" s="25">
        <v>2491</v>
      </c>
      <c r="F19" s="53">
        <v>780.32386621696696</v>
      </c>
      <c r="G19" s="54">
        <v>103.901589251686</v>
      </c>
      <c r="H19" s="24">
        <v>0.13315187930288991</v>
      </c>
      <c r="I19" s="25">
        <v>1249</v>
      </c>
      <c r="J19" s="53">
        <v>581.23914364392101</v>
      </c>
      <c r="K19" s="54">
        <v>115.145154654545</v>
      </c>
      <c r="L19" s="24">
        <v>0.19810289089044092</v>
      </c>
      <c r="M19" s="25">
        <v>144</v>
      </c>
      <c r="N19" s="53">
        <v>838.49688520663904</v>
      </c>
      <c r="O19" s="54">
        <v>143.80864846875201</v>
      </c>
      <c r="P19" s="24">
        <v>0.17150767165141206</v>
      </c>
      <c r="Q19" s="25">
        <v>3884</v>
      </c>
      <c r="R19" s="26"/>
      <c r="S19" s="26"/>
      <c r="T19" s="26"/>
    </row>
    <row r="20" spans="1:20" ht="19.5" customHeight="1" thickBot="1" x14ac:dyDescent="0.3">
      <c r="A20" s="27" t="s">
        <v>23</v>
      </c>
      <c r="B20" s="55">
        <v>811.57794206262702</v>
      </c>
      <c r="C20" s="56">
        <v>167.012633202112</v>
      </c>
      <c r="D20" s="30">
        <v>0.20578754614455028</v>
      </c>
      <c r="E20" s="31">
        <v>537</v>
      </c>
      <c r="F20" s="55">
        <v>1169.97099082982</v>
      </c>
      <c r="G20" s="56">
        <v>217.44735416716901</v>
      </c>
      <c r="H20" s="30">
        <v>0.18585704762896824</v>
      </c>
      <c r="I20" s="31">
        <v>542</v>
      </c>
      <c r="J20" s="55">
        <v>825.82721195712099</v>
      </c>
      <c r="K20" s="56">
        <v>265.20274466817602</v>
      </c>
      <c r="L20" s="30">
        <v>0.32113587543291805</v>
      </c>
      <c r="M20" s="31">
        <v>66</v>
      </c>
      <c r="N20" s="55">
        <v>968.41797928371398</v>
      </c>
      <c r="O20" s="56">
        <v>131.08036725087501</v>
      </c>
      <c r="P20" s="30">
        <v>0.13535515661102041</v>
      </c>
      <c r="Q20" s="31">
        <v>1145</v>
      </c>
      <c r="R20" s="26"/>
      <c r="S20" s="26"/>
      <c r="T20" s="26"/>
    </row>
    <row r="21" spans="1:20" ht="24.75" customHeight="1" thickTop="1" x14ac:dyDescent="0.25">
      <c r="A21" s="35" t="s">
        <v>4</v>
      </c>
      <c r="B21" s="60">
        <v>860.75025381447495</v>
      </c>
      <c r="C21" s="61">
        <v>155.787273025345</v>
      </c>
      <c r="D21" s="38">
        <v>0.18099009827178419</v>
      </c>
      <c r="E21" s="39">
        <v>3028</v>
      </c>
      <c r="F21" s="60">
        <v>950.74684274870697</v>
      </c>
      <c r="G21" s="61">
        <v>110.292127926104</v>
      </c>
      <c r="H21" s="38">
        <v>0.11600577879095356</v>
      </c>
      <c r="I21" s="39">
        <v>1791</v>
      </c>
      <c r="J21" s="60">
        <v>683.838739714913</v>
      </c>
      <c r="K21" s="61">
        <v>133.04303729839799</v>
      </c>
      <c r="L21" s="38">
        <v>0.19455323246802686</v>
      </c>
      <c r="M21" s="39">
        <v>210</v>
      </c>
      <c r="N21" s="62">
        <v>888.39844365670103</v>
      </c>
      <c r="O21" s="61">
        <v>101.276669091397</v>
      </c>
      <c r="P21" s="38">
        <v>0.1139991518608882</v>
      </c>
      <c r="Q21" s="39">
        <v>5029</v>
      </c>
    </row>
    <row r="22" spans="1:20" ht="24.75" customHeight="1" x14ac:dyDescent="0.25">
      <c r="A22" s="40"/>
      <c r="B22" s="63"/>
      <c r="C22" s="64"/>
      <c r="D22" s="65"/>
      <c r="E22" s="64"/>
      <c r="F22" s="63"/>
      <c r="G22" s="64"/>
      <c r="H22" s="65"/>
      <c r="I22" s="64"/>
      <c r="J22" s="63"/>
      <c r="K22" s="64"/>
      <c r="L22" s="65"/>
      <c r="M22" s="64"/>
      <c r="N22" s="66"/>
      <c r="O22" s="64"/>
      <c r="P22" s="65"/>
      <c r="Q22" s="64"/>
    </row>
    <row r="23" spans="1:20" x14ac:dyDescent="0.25">
      <c r="A23" s="40" t="s">
        <v>71</v>
      </c>
      <c r="B23" s="44" t="s">
        <v>26</v>
      </c>
      <c r="C23" s="4" t="s">
        <v>62</v>
      </c>
    </row>
    <row r="24" spans="1:20" x14ac:dyDescent="0.25">
      <c r="A24" s="40"/>
      <c r="B24" s="45" t="s">
        <v>28</v>
      </c>
      <c r="C24" s="4" t="s">
        <v>63</v>
      </c>
    </row>
    <row r="25" spans="1:20" x14ac:dyDescent="0.25">
      <c r="A25" s="154" t="s">
        <v>240</v>
      </c>
    </row>
    <row r="26" spans="1:20" x14ac:dyDescent="0.25">
      <c r="A26" s="4" t="s">
        <v>72</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conditionalFormatting sqref="M5:M15">
    <cfRule type="expression" dxfId="605" priority="40">
      <formula>M5&lt;=1</formula>
    </cfRule>
  </conditionalFormatting>
  <conditionalFormatting sqref="L5:L15">
    <cfRule type="expression" dxfId="604" priority="36">
      <formula>OR(L5&gt;=0.5,M5&lt;=5)</formula>
    </cfRule>
    <cfRule type="expression" dxfId="603" priority="39">
      <formula>M5&lt;=1</formula>
    </cfRule>
  </conditionalFormatting>
  <conditionalFormatting sqref="K5:K15">
    <cfRule type="expression" dxfId="602" priority="35">
      <formula>OR(L5&gt;=0.5,M5&lt;=5)</formula>
    </cfRule>
    <cfRule type="expression" dxfId="601" priority="38">
      <formula>M5&lt;=1</formula>
    </cfRule>
  </conditionalFormatting>
  <conditionalFormatting sqref="J5:J15">
    <cfRule type="expression" dxfId="600" priority="34">
      <formula>OR(L5&gt;=0.5,M5&lt;=5)</formula>
    </cfRule>
    <cfRule type="expression" dxfId="599" priority="37">
      <formula>M5&lt;=1</formula>
    </cfRule>
  </conditionalFormatting>
  <conditionalFormatting sqref="I5:I15">
    <cfRule type="expression" dxfId="598" priority="33">
      <formula>I5&lt;=1</formula>
    </cfRule>
  </conditionalFormatting>
  <conditionalFormatting sqref="H5:H15">
    <cfRule type="expression" dxfId="597" priority="29">
      <formula>OR(H5&gt;=0.5,I5&lt;=5)</formula>
    </cfRule>
    <cfRule type="expression" dxfId="596" priority="32">
      <formula>I5&lt;=1</formula>
    </cfRule>
  </conditionalFormatting>
  <conditionalFormatting sqref="G5:G15">
    <cfRule type="expression" dxfId="595" priority="28">
      <formula>OR(H5&gt;=0.5,I5&lt;=5)</formula>
    </cfRule>
    <cfRule type="expression" dxfId="594" priority="31">
      <formula>I5&lt;=1</formula>
    </cfRule>
  </conditionalFormatting>
  <conditionalFormatting sqref="F5:F15">
    <cfRule type="expression" dxfId="593" priority="27">
      <formula>OR(H5&gt;=0.5,I5&lt;=5)</formula>
    </cfRule>
    <cfRule type="expression" dxfId="592" priority="30">
      <formula>I5&lt;=1</formula>
    </cfRule>
  </conditionalFormatting>
  <conditionalFormatting sqref="E5:E15">
    <cfRule type="expression" dxfId="591" priority="26">
      <formula>E5&lt;=1</formula>
    </cfRule>
  </conditionalFormatting>
  <conditionalFormatting sqref="D5:D15">
    <cfRule type="expression" dxfId="590" priority="22">
      <formula>OR(D5&gt;=0.5,E5&lt;=5)</formula>
    </cfRule>
    <cfRule type="expression" dxfId="589" priority="25">
      <formula>E5&lt;=1</formula>
    </cfRule>
  </conditionalFormatting>
  <conditionalFormatting sqref="C5:C15">
    <cfRule type="expression" dxfId="588" priority="21">
      <formula>OR(D5&gt;=0.5,E5&lt;=5)</formula>
    </cfRule>
    <cfRule type="expression" dxfId="587" priority="24">
      <formula>E5&lt;=1</formula>
    </cfRule>
  </conditionalFormatting>
  <conditionalFormatting sqref="B5:B15">
    <cfRule type="expression" dxfId="586" priority="20">
      <formula>OR(D5&gt;=0.5,E5&lt;=5)</formula>
    </cfRule>
    <cfRule type="expression" dxfId="585" priority="23">
      <formula>E5&lt;=1</formula>
    </cfRule>
  </conditionalFormatting>
  <conditionalFormatting sqref="Q5:Q15">
    <cfRule type="expression" dxfId="584" priority="19">
      <formula>Q5&lt;=1</formula>
    </cfRule>
  </conditionalFormatting>
  <conditionalFormatting sqref="P5:P15">
    <cfRule type="expression" dxfId="583" priority="15">
      <formula>OR(P5&gt;=0.5,Q5&lt;=5)</formula>
    </cfRule>
    <cfRule type="expression" dxfId="582" priority="18">
      <formula>Q5&lt;=1</formula>
    </cfRule>
  </conditionalFormatting>
  <conditionalFormatting sqref="O5:O15">
    <cfRule type="expression" dxfId="581" priority="14">
      <formula>OR(P5&gt;=0.5,Q5&lt;=5)</formula>
    </cfRule>
    <cfRule type="expression" dxfId="580" priority="17">
      <formula>Q5&lt;=1</formula>
    </cfRule>
  </conditionalFormatting>
  <conditionalFormatting sqref="N5:N15">
    <cfRule type="expression" dxfId="579" priority="13">
      <formula>OR(P5&gt;=0.5,Q5&lt;=5)</formula>
    </cfRule>
    <cfRule type="expression" dxfId="578" priority="16">
      <formula>Q5&lt;=1</formula>
    </cfRule>
  </conditionalFormatting>
  <conditionalFormatting sqref="M19:M20">
    <cfRule type="expression" dxfId="577" priority="12">
      <formula>M19&lt;=1</formula>
    </cfRule>
  </conditionalFormatting>
  <conditionalFormatting sqref="L19:L20 H19:H20 D19:D20 P19:P20">
    <cfRule type="expression" dxfId="576" priority="8">
      <formula>OR(D19&gt;=0.5,E19&lt;=5)</formula>
    </cfRule>
    <cfRule type="expression" dxfId="575" priority="11">
      <formula>E19&lt;=1</formula>
    </cfRule>
  </conditionalFormatting>
  <conditionalFormatting sqref="K19:K20 G19:G20 C19:C20 O19:O20">
    <cfRule type="expression" dxfId="574" priority="7">
      <formula>OR(D19&gt;=0.5,E19&lt;=5)</formula>
    </cfRule>
    <cfRule type="expression" dxfId="573" priority="10">
      <formula>E19&lt;=1</formula>
    </cfRule>
  </conditionalFormatting>
  <conditionalFormatting sqref="J19:J20">
    <cfRule type="expression" dxfId="572" priority="6">
      <formula>OR(L19&gt;=0.5,M19&lt;=5)</formula>
    </cfRule>
    <cfRule type="expression" dxfId="571" priority="9">
      <formula>M19&lt;=1</formula>
    </cfRule>
  </conditionalFormatting>
  <conditionalFormatting sqref="I19:I20">
    <cfRule type="expression" dxfId="570" priority="5">
      <formula>I19&lt;=1</formula>
    </cfRule>
  </conditionalFormatting>
  <conditionalFormatting sqref="F19:F20 B19:B20 N19:N20">
    <cfRule type="expression" dxfId="569" priority="3">
      <formula>OR(D19&gt;=0.5,E19&lt;=5)</formula>
    </cfRule>
    <cfRule type="expression" dxfId="568" priority="4">
      <formula>E19&lt;=1</formula>
    </cfRule>
  </conditionalFormatting>
  <conditionalFormatting sqref="E19:E20">
    <cfRule type="expression" dxfId="567" priority="2">
      <formula>E19&lt;=1</formula>
    </cfRule>
  </conditionalFormatting>
  <conditionalFormatting sqref="Q19:Q20">
    <cfRule type="expression" dxfId="566" priority="1">
      <formula>Q19&lt;=1</formula>
    </cfRule>
  </conditionalFormatting>
  <hyperlinks>
    <hyperlink ref="A25" location="Überblick!A1" display="zurück zur Übersicht" xr:uid="{478593DE-3A0A-4780-8DF4-2588592CEFC2}"/>
  </hyperlink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D577C-CE58-477A-AB75-9E1DE15D9284}">
  <sheetPr codeName="Tabelle10"/>
  <dimension ref="A1:T29"/>
  <sheetViews>
    <sheetView showGridLines="0" zoomScaleNormal="100" workbookViewId="0">
      <pane xSplit="1" ySplit="4" topLeftCell="B8"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"1.3.16. "&amp;A2&amp;" ("&amp;A3&amp;") für alle GEG-relevanten Nichtwohngebäude nach Gebäude-Hauptfunktion und grober Gebäude-Baualtersklasse (Breitenerhebung)"</f>
        <v>1.3.16. Mittlere Dach-Fensterfläche (über thermisch konditioniert) (d_fl_wueoa_transp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2" t="s">
        <v>73</v>
      </c>
      <c r="B2" s="6" t="s">
        <v>0</v>
      </c>
      <c r="C2" s="7"/>
      <c r="D2" s="7"/>
      <c r="E2" s="7"/>
      <c r="F2" s="7"/>
      <c r="G2" s="7"/>
      <c r="H2" s="7"/>
      <c r="I2" s="7"/>
      <c r="J2" s="7"/>
      <c r="K2" s="7"/>
      <c r="L2" s="7"/>
      <c r="M2" s="8"/>
      <c r="N2" s="9"/>
      <c r="O2" s="9"/>
      <c r="P2" s="7"/>
      <c r="Q2" s="10"/>
    </row>
    <row r="3" spans="1:20" ht="50.25" customHeight="1" x14ac:dyDescent="0.25">
      <c r="A3" s="52" t="s">
        <v>74</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"&amp;$A$3&amp;" in m2"</f>
        <v>Mittlere d_fl_wueoa_transp [m²] in m2</v>
      </c>
      <c r="C4" s="18" t="s">
        <v>56</v>
      </c>
      <c r="D4" s="18" t="s">
        <v>8</v>
      </c>
      <c r="E4" s="19" t="s">
        <v>9</v>
      </c>
      <c r="F4" s="17" t="str">
        <f>"Mittlere "&amp;$A$3&amp;" in m2"</f>
        <v>Mittlere d_fl_wueoa_transp [m²] in m2</v>
      </c>
      <c r="G4" s="18" t="s">
        <v>57</v>
      </c>
      <c r="H4" s="18" t="s">
        <v>8</v>
      </c>
      <c r="I4" s="19" t="s">
        <v>9</v>
      </c>
      <c r="J4" s="17" t="str">
        <f>"Mittlere "&amp;$A$3&amp;" in m2"</f>
        <v>Mittlere d_fl_wueoa_transp [m²] in m2</v>
      </c>
      <c r="K4" s="18" t="s">
        <v>57</v>
      </c>
      <c r="L4" s="18" t="s">
        <v>8</v>
      </c>
      <c r="M4" s="20" t="s">
        <v>9</v>
      </c>
      <c r="N4" s="17" t="str">
        <f>"Mittlere "&amp;$A$3&amp;" in m2"</f>
        <v>Mittlere d_fl_wueoa_transp [m²] in m2</v>
      </c>
      <c r="O4" s="18" t="s">
        <v>57</v>
      </c>
      <c r="P4" s="18" t="s">
        <v>8</v>
      </c>
      <c r="Q4" s="19" t="s">
        <v>9</v>
      </c>
    </row>
    <row r="5" spans="1:20" ht="19.5" customHeight="1" x14ac:dyDescent="0.25">
      <c r="A5" s="21" t="s">
        <v>10</v>
      </c>
      <c r="B5" s="22">
        <v>3.4909248376600099</v>
      </c>
      <c r="C5" s="23">
        <v>1.3789677870421799</v>
      </c>
      <c r="D5" s="24">
        <v>0.39501503216738154</v>
      </c>
      <c r="E5" s="25">
        <v>626</v>
      </c>
      <c r="F5" s="22">
        <v>65.545582078383802</v>
      </c>
      <c r="G5" s="23">
        <v>54.329061760147297</v>
      </c>
      <c r="H5" s="24">
        <v>0.82887450286393005</v>
      </c>
      <c r="I5" s="25">
        <v>347</v>
      </c>
      <c r="J5" s="22">
        <v>3.8516862343341298</v>
      </c>
      <c r="K5" s="23">
        <v>3.3884036439450398</v>
      </c>
      <c r="L5" s="24">
        <v>0.8797195404289776</v>
      </c>
      <c r="M5" s="25">
        <v>29</v>
      </c>
      <c r="N5" s="22">
        <v>25.2946956015133</v>
      </c>
      <c r="O5" s="23">
        <v>18.9726347472537</v>
      </c>
      <c r="P5" s="24">
        <v>0.75006377013363346</v>
      </c>
      <c r="Q5" s="25">
        <v>1002</v>
      </c>
      <c r="R5" s="26"/>
      <c r="S5" s="26"/>
      <c r="T5" s="26"/>
    </row>
    <row r="6" spans="1:20" ht="19.5" customHeight="1" x14ac:dyDescent="0.25">
      <c r="A6" s="27" t="s">
        <v>11</v>
      </c>
      <c r="B6" s="28">
        <v>11.3826151528036</v>
      </c>
      <c r="C6" s="29">
        <v>3.22493779036123</v>
      </c>
      <c r="D6" s="30">
        <v>0.28332134110384205</v>
      </c>
      <c r="E6" s="31">
        <v>63</v>
      </c>
      <c r="F6" s="28">
        <v>22.4947326936473</v>
      </c>
      <c r="G6" s="29">
        <v>18.182180352163499</v>
      </c>
      <c r="H6" s="30">
        <v>0.80828612634718255</v>
      </c>
      <c r="I6" s="31">
        <v>49</v>
      </c>
      <c r="J6" s="28">
        <v>0</v>
      </c>
      <c r="K6" s="29">
        <v>0</v>
      </c>
      <c r="L6" s="30" t="e">
        <v>#DIV/0!</v>
      </c>
      <c r="M6" s="31">
        <v>16</v>
      </c>
      <c r="N6" s="28">
        <v>13.9682138138142</v>
      </c>
      <c r="O6" s="29">
        <v>6.0245510792008403</v>
      </c>
      <c r="P6" s="30">
        <v>0.43130432849207362</v>
      </c>
      <c r="Q6" s="31">
        <v>128</v>
      </c>
      <c r="R6" s="26"/>
      <c r="S6" s="26"/>
      <c r="T6" s="26"/>
    </row>
    <row r="7" spans="1:20" ht="19.5" customHeight="1" x14ac:dyDescent="0.25">
      <c r="A7" s="27" t="s">
        <v>12</v>
      </c>
      <c r="B7" s="28">
        <v>4.2092634239361999</v>
      </c>
      <c r="C7" s="29">
        <v>2.48102388190844</v>
      </c>
      <c r="D7" s="30">
        <v>0.58941996069905389</v>
      </c>
      <c r="E7" s="31">
        <v>110</v>
      </c>
      <c r="F7" s="28">
        <v>0.79011706600502396</v>
      </c>
      <c r="G7" s="29">
        <v>0.70775126817265399</v>
      </c>
      <c r="H7" s="30">
        <v>0.89575494394922206</v>
      </c>
      <c r="I7" s="31">
        <v>70</v>
      </c>
      <c r="J7" s="28">
        <v>0</v>
      </c>
      <c r="K7" s="29">
        <v>0</v>
      </c>
      <c r="L7" s="30" t="e">
        <v>#DIV/0!</v>
      </c>
      <c r="M7" s="31">
        <v>13</v>
      </c>
      <c r="N7" s="28">
        <v>2.04590668139778</v>
      </c>
      <c r="O7" s="29">
        <v>1.12143920249829</v>
      </c>
      <c r="P7" s="30">
        <v>0.5481380029181554</v>
      </c>
      <c r="Q7" s="31">
        <v>193</v>
      </c>
      <c r="R7" s="26"/>
      <c r="S7" s="26"/>
      <c r="T7" s="26"/>
    </row>
    <row r="8" spans="1:20" ht="19.5" customHeight="1" x14ac:dyDescent="0.25">
      <c r="A8" s="27" t="s">
        <v>13</v>
      </c>
      <c r="B8" s="28">
        <v>10.6574387465119</v>
      </c>
      <c r="C8" s="29">
        <v>3.79309069834878</v>
      </c>
      <c r="D8" s="30">
        <v>0.35591015708068041</v>
      </c>
      <c r="E8" s="31">
        <v>795</v>
      </c>
      <c r="F8" s="28">
        <v>7.6143439043981198</v>
      </c>
      <c r="G8" s="29">
        <v>4.5187365727269402</v>
      </c>
      <c r="H8" s="30">
        <v>0.59345054931349683</v>
      </c>
      <c r="I8" s="31">
        <v>285</v>
      </c>
      <c r="J8" s="28">
        <v>7.7543642894025702</v>
      </c>
      <c r="K8" s="29">
        <v>6.3927024722647596</v>
      </c>
      <c r="L8" s="30">
        <v>0.82440058703474728</v>
      </c>
      <c r="M8" s="31">
        <v>32</v>
      </c>
      <c r="N8" s="28">
        <v>9.3424740400016795</v>
      </c>
      <c r="O8" s="29">
        <v>2.9534705462049202</v>
      </c>
      <c r="P8" s="30">
        <v>0.31613366369112106</v>
      </c>
      <c r="Q8" s="31">
        <v>1112</v>
      </c>
      <c r="R8" s="26"/>
      <c r="S8" s="26"/>
      <c r="T8" s="26"/>
    </row>
    <row r="9" spans="1:20" ht="19.5" customHeight="1" x14ac:dyDescent="0.25">
      <c r="A9" s="27" t="s">
        <v>14</v>
      </c>
      <c r="B9" s="28">
        <v>7.0454717779148996</v>
      </c>
      <c r="C9" s="29">
        <v>3.1789986348219799</v>
      </c>
      <c r="D9" s="30">
        <v>0.45121160584122039</v>
      </c>
      <c r="E9" s="31">
        <v>347</v>
      </c>
      <c r="F9" s="28">
        <v>8.1122145672497101</v>
      </c>
      <c r="G9" s="29">
        <v>6.1183025482645101</v>
      </c>
      <c r="H9" s="30">
        <v>0.754208668612522</v>
      </c>
      <c r="I9" s="31">
        <v>131</v>
      </c>
      <c r="J9" s="28">
        <v>1.38894208654611</v>
      </c>
      <c r="K9" s="29">
        <v>1.47916185084662</v>
      </c>
      <c r="L9" s="30">
        <v>1.06495574234118</v>
      </c>
      <c r="M9" s="31">
        <v>19</v>
      </c>
      <c r="N9" s="28">
        <v>7.0413292419280298</v>
      </c>
      <c r="O9" s="29">
        <v>2.9323665074304701</v>
      </c>
      <c r="P9" s="30">
        <v>0.41645070222956093</v>
      </c>
      <c r="Q9" s="31">
        <v>497</v>
      </c>
      <c r="R9" s="26"/>
      <c r="S9" s="26"/>
      <c r="T9" s="26"/>
    </row>
    <row r="10" spans="1:20" ht="19.5" customHeight="1" x14ac:dyDescent="0.25">
      <c r="A10" s="27" t="s">
        <v>15</v>
      </c>
      <c r="B10" s="28">
        <v>16.450616497179599</v>
      </c>
      <c r="C10" s="29">
        <v>7.0309810733069096</v>
      </c>
      <c r="D10" s="30">
        <v>0.42739924515973898</v>
      </c>
      <c r="E10" s="31">
        <v>225</v>
      </c>
      <c r="F10" s="28">
        <v>68.164590169380503</v>
      </c>
      <c r="G10" s="29">
        <v>37.1034203185569</v>
      </c>
      <c r="H10" s="30">
        <v>0.54432103569257184</v>
      </c>
      <c r="I10" s="31">
        <v>131</v>
      </c>
      <c r="J10" s="28">
        <v>34.0104852791575</v>
      </c>
      <c r="K10" s="29">
        <v>43.420078723263501</v>
      </c>
      <c r="L10" s="30">
        <v>1.2766674267324389</v>
      </c>
      <c r="M10" s="31">
        <v>10</v>
      </c>
      <c r="N10" s="28">
        <v>32.307017270335997</v>
      </c>
      <c r="O10" s="29">
        <v>12.853699739930899</v>
      </c>
      <c r="P10" s="30">
        <v>0.39786092390934047</v>
      </c>
      <c r="Q10" s="31">
        <v>366</v>
      </c>
      <c r="R10" s="26"/>
      <c r="S10" s="26"/>
      <c r="T10" s="26"/>
    </row>
    <row r="11" spans="1:20" ht="19.5" customHeight="1" x14ac:dyDescent="0.25">
      <c r="A11" s="27" t="s">
        <v>16</v>
      </c>
      <c r="B11" s="28">
        <v>0.75212120118625303</v>
      </c>
      <c r="C11" s="29">
        <v>0.38691835055990798</v>
      </c>
      <c r="D11" s="30">
        <v>0.51443617059279345</v>
      </c>
      <c r="E11" s="31">
        <v>223</v>
      </c>
      <c r="F11" s="28">
        <v>4.3346208860878503</v>
      </c>
      <c r="G11" s="29">
        <v>4.0006183234595101</v>
      </c>
      <c r="H11" s="30">
        <v>0.92294538059825815</v>
      </c>
      <c r="I11" s="31">
        <v>114</v>
      </c>
      <c r="J11" s="28">
        <v>0</v>
      </c>
      <c r="K11" s="29">
        <v>0</v>
      </c>
      <c r="L11" s="30" t="e">
        <v>#DIV/0!</v>
      </c>
      <c r="M11" s="31">
        <v>11</v>
      </c>
      <c r="N11" s="28">
        <v>1.63398750447172</v>
      </c>
      <c r="O11" s="29">
        <v>0.95461422527636797</v>
      </c>
      <c r="P11" s="30">
        <v>0.58422369979200151</v>
      </c>
      <c r="Q11" s="31">
        <v>348</v>
      </c>
      <c r="R11" s="26"/>
      <c r="S11" s="26"/>
      <c r="T11" s="26"/>
    </row>
    <row r="12" spans="1:20" ht="19.5" customHeight="1" x14ac:dyDescent="0.25">
      <c r="A12" s="27" t="s">
        <v>17</v>
      </c>
      <c r="B12" s="28">
        <v>14.939853672085899</v>
      </c>
      <c r="C12" s="29">
        <v>5.65381122548321</v>
      </c>
      <c r="D12" s="30">
        <v>0.37843819287513986</v>
      </c>
      <c r="E12" s="31">
        <v>496</v>
      </c>
      <c r="F12" s="28">
        <v>25.097325532353601</v>
      </c>
      <c r="G12" s="29">
        <v>10.750218585447501</v>
      </c>
      <c r="H12" s="30">
        <v>0.42834120199736503</v>
      </c>
      <c r="I12" s="31">
        <v>508</v>
      </c>
      <c r="J12" s="28">
        <v>3.9208788614568699</v>
      </c>
      <c r="K12" s="29">
        <v>3.0208326942252199</v>
      </c>
      <c r="L12" s="30">
        <v>0.77044785135309624</v>
      </c>
      <c r="M12" s="31">
        <v>64</v>
      </c>
      <c r="N12" s="28">
        <v>18.5603211846094</v>
      </c>
      <c r="O12" s="29">
        <v>5.4787865928415203</v>
      </c>
      <c r="P12" s="30">
        <v>0.29518813485752837</v>
      </c>
      <c r="Q12" s="31">
        <v>1068</v>
      </c>
      <c r="R12" s="26"/>
      <c r="S12" s="26"/>
      <c r="T12" s="26"/>
    </row>
    <row r="13" spans="1:20" ht="19.5" customHeight="1" x14ac:dyDescent="0.25">
      <c r="A13" s="27" t="s">
        <v>18</v>
      </c>
      <c r="B13" s="28">
        <v>93.319714237575397</v>
      </c>
      <c r="C13" s="29">
        <v>87.021829764739493</v>
      </c>
      <c r="D13" s="30">
        <v>0.93251281870835345</v>
      </c>
      <c r="E13" s="31">
        <v>102</v>
      </c>
      <c r="F13" s="28">
        <v>81.761135153949397</v>
      </c>
      <c r="G13" s="29">
        <v>48.200854618572897</v>
      </c>
      <c r="H13" s="30">
        <v>0.58953260039522093</v>
      </c>
      <c r="I13" s="31">
        <v>122</v>
      </c>
      <c r="J13" s="28">
        <v>47.368395755060703</v>
      </c>
      <c r="K13" s="29">
        <v>46.918587444233701</v>
      </c>
      <c r="L13" s="30">
        <v>0.99050404170002004</v>
      </c>
      <c r="M13" s="31">
        <v>14</v>
      </c>
      <c r="N13" s="28">
        <v>86.910888721877498</v>
      </c>
      <c r="O13" s="29">
        <v>48.182385117295702</v>
      </c>
      <c r="P13" s="30">
        <v>0.5543883606055805</v>
      </c>
      <c r="Q13" s="31">
        <v>238</v>
      </c>
      <c r="R13" s="26"/>
      <c r="S13" s="26"/>
      <c r="T13" s="26"/>
    </row>
    <row r="14" spans="1:20" ht="19.5" customHeight="1" x14ac:dyDescent="0.25">
      <c r="A14" s="27" t="s">
        <v>19</v>
      </c>
      <c r="B14" s="32">
        <v>0</v>
      </c>
      <c r="C14" s="33">
        <v>0</v>
      </c>
      <c r="D14" s="30" t="e">
        <v>#DIV/0!</v>
      </c>
      <c r="E14" s="31">
        <v>26</v>
      </c>
      <c r="F14" s="32">
        <v>1.1529602931340099</v>
      </c>
      <c r="G14" s="33">
        <v>1.2738649409179901</v>
      </c>
      <c r="H14" s="30">
        <v>1.1048645374033945</v>
      </c>
      <c r="I14" s="31">
        <v>25</v>
      </c>
      <c r="J14" s="32">
        <v>0</v>
      </c>
      <c r="K14" s="33">
        <v>0</v>
      </c>
      <c r="L14" s="30" t="e">
        <v>#DIV/0!</v>
      </c>
      <c r="M14" s="31">
        <v>1</v>
      </c>
      <c r="N14" s="32">
        <v>0.87337458962952197</v>
      </c>
      <c r="O14" s="33">
        <v>0.92970154711068398</v>
      </c>
      <c r="P14" s="30">
        <v>1.0644934695261232</v>
      </c>
      <c r="Q14" s="31">
        <v>52</v>
      </c>
      <c r="R14" s="26"/>
      <c r="S14" s="26"/>
      <c r="T14" s="26"/>
    </row>
    <row r="15" spans="1:20" ht="19.5" customHeight="1" thickBot="1" x14ac:dyDescent="0.3">
      <c r="A15" s="27" t="s">
        <v>20</v>
      </c>
      <c r="B15" s="32">
        <v>63.8765487089169</v>
      </c>
      <c r="C15" s="34">
        <v>60.527267558235302</v>
      </c>
      <c r="D15" s="30">
        <v>0.94756634135096829</v>
      </c>
      <c r="E15" s="31">
        <v>15</v>
      </c>
      <c r="F15" s="32">
        <v>7.3214105456453504</v>
      </c>
      <c r="G15" s="34">
        <v>9.1797070548356796</v>
      </c>
      <c r="H15" s="30">
        <v>1.2538167334839065</v>
      </c>
      <c r="I15" s="31">
        <v>9</v>
      </c>
      <c r="J15" s="32">
        <v>0</v>
      </c>
      <c r="K15" s="34">
        <v>0</v>
      </c>
      <c r="L15" s="30" t="e">
        <v>#DIV/0!</v>
      </c>
      <c r="M15" s="31">
        <v>1</v>
      </c>
      <c r="N15" s="32">
        <v>40.862379785860398</v>
      </c>
      <c r="O15" s="34">
        <v>41.988816672276002</v>
      </c>
      <c r="P15" s="30">
        <v>1.0275666001911465</v>
      </c>
      <c r="Q15" s="31">
        <v>25</v>
      </c>
      <c r="R15" s="26"/>
      <c r="S15" s="26"/>
      <c r="T15" s="26"/>
    </row>
    <row r="16" spans="1:20" ht="24.75" customHeight="1" thickTop="1" x14ac:dyDescent="0.25">
      <c r="A16" s="35" t="s">
        <v>4</v>
      </c>
      <c r="B16" s="36">
        <v>16.1817546041509</v>
      </c>
      <c r="C16" s="37">
        <v>7.6301904498970403</v>
      </c>
      <c r="D16" s="38">
        <v>0.47153047593119257</v>
      </c>
      <c r="E16" s="39">
        <v>3028</v>
      </c>
      <c r="F16" s="36">
        <v>31.720768563674199</v>
      </c>
      <c r="G16" s="37">
        <v>10.9844027507507</v>
      </c>
      <c r="H16" s="38">
        <v>0.34628425628153769</v>
      </c>
      <c r="I16" s="39">
        <v>1791</v>
      </c>
      <c r="J16" s="36">
        <v>7.2239975404546701</v>
      </c>
      <c r="K16" s="37">
        <v>3.4801610767319402</v>
      </c>
      <c r="L16" s="38">
        <v>0.48175003621511514</v>
      </c>
      <c r="M16" s="39">
        <v>210</v>
      </c>
      <c r="N16" s="36">
        <v>21.786059520268001</v>
      </c>
      <c r="O16" s="37">
        <v>6.0662132373829403</v>
      </c>
      <c r="P16" s="38">
        <v>0.27844471974105378</v>
      </c>
      <c r="Q16" s="39">
        <v>5029</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5" t="s">
        <v>52</v>
      </c>
      <c r="B18" s="17" t="str">
        <f>"Mittlere "&amp;$A$3&amp;" in m2"</f>
        <v>Mittlere d_fl_wueoa_transp [m²] in m2</v>
      </c>
      <c r="C18" s="18" t="s">
        <v>56</v>
      </c>
      <c r="D18" s="18" t="s">
        <v>8</v>
      </c>
      <c r="E18" s="19" t="s">
        <v>9</v>
      </c>
      <c r="F18" s="17" t="str">
        <f>"Mittlere "&amp;$A$3&amp;" in m2"</f>
        <v>Mittlere d_fl_wueoa_transp [m²] in m2</v>
      </c>
      <c r="G18" s="18" t="s">
        <v>57</v>
      </c>
      <c r="H18" s="18" t="s">
        <v>8</v>
      </c>
      <c r="I18" s="19" t="s">
        <v>9</v>
      </c>
      <c r="J18" s="17" t="str">
        <f>"Mittlere "&amp;$A$3&amp;" in m2"</f>
        <v>Mittlere d_fl_wueoa_transp [m²] in m2</v>
      </c>
      <c r="K18" s="18" t="s">
        <v>57</v>
      </c>
      <c r="L18" s="18" t="s">
        <v>8</v>
      </c>
      <c r="M18" s="20" t="s">
        <v>9</v>
      </c>
      <c r="N18" s="17" t="str">
        <f>"Mittlere "&amp;$A$3&amp;" in m2"</f>
        <v>Mittlere d_fl_wueoa_transp [m²] in m2</v>
      </c>
      <c r="O18" s="18" t="s">
        <v>57</v>
      </c>
      <c r="P18" s="18" t="s">
        <v>8</v>
      </c>
      <c r="Q18" s="19" t="s">
        <v>9</v>
      </c>
    </row>
    <row r="19" spans="1:20" ht="19.5" customHeight="1" x14ac:dyDescent="0.25">
      <c r="A19" s="50" t="s">
        <v>59</v>
      </c>
      <c r="B19" s="32">
        <v>16.295468075450401</v>
      </c>
      <c r="C19" s="33">
        <v>11.260778160149499</v>
      </c>
      <c r="D19" s="24">
        <v>0.69103741653878548</v>
      </c>
      <c r="E19" s="25">
        <v>2491</v>
      </c>
      <c r="F19" s="32">
        <v>40.163820356692597</v>
      </c>
      <c r="G19" s="33">
        <v>18.145356518961002</v>
      </c>
      <c r="H19" s="24">
        <v>0.45178362909238029</v>
      </c>
      <c r="I19" s="25">
        <v>1249</v>
      </c>
      <c r="J19" s="32">
        <v>9.7564972496154994</v>
      </c>
      <c r="K19" s="33">
        <v>5.6186177887982396</v>
      </c>
      <c r="L19" s="24">
        <v>0.57588473045689303</v>
      </c>
      <c r="M19" s="25">
        <v>144</v>
      </c>
      <c r="N19" s="32">
        <v>24.405495011699301</v>
      </c>
      <c r="O19" s="33">
        <v>9.3727864848080298</v>
      </c>
      <c r="P19" s="24">
        <v>0.38404410483438184</v>
      </c>
      <c r="Q19" s="25">
        <v>3884</v>
      </c>
      <c r="R19" s="26"/>
      <c r="S19" s="26"/>
      <c r="T19" s="26"/>
    </row>
    <row r="20" spans="1:20" ht="19.5" customHeight="1" thickBot="1" x14ac:dyDescent="0.3">
      <c r="A20" s="51" t="s">
        <v>60</v>
      </c>
      <c r="B20" s="32">
        <v>15.967278154082299</v>
      </c>
      <c r="C20" s="34">
        <v>5.7011830706354303</v>
      </c>
      <c r="D20" s="30">
        <v>0.35705415886287595</v>
      </c>
      <c r="E20" s="31">
        <v>537</v>
      </c>
      <c r="F20" s="32">
        <v>20.8600215318063</v>
      </c>
      <c r="G20" s="34">
        <v>8.9479441283123808</v>
      </c>
      <c r="H20" s="30">
        <v>0.42895181650071695</v>
      </c>
      <c r="I20" s="31">
        <v>542</v>
      </c>
      <c r="J20" s="32">
        <v>3.7192491941865602</v>
      </c>
      <c r="K20" s="34">
        <v>2.83461063624266</v>
      </c>
      <c r="L20" s="30">
        <v>0.76214593006388209</v>
      </c>
      <c r="M20" s="31">
        <v>66</v>
      </c>
      <c r="N20" s="32">
        <v>17.585669429465302</v>
      </c>
      <c r="O20" s="34">
        <v>4.9775720957209604</v>
      </c>
      <c r="P20" s="30">
        <v>0.28304706372911193</v>
      </c>
      <c r="Q20" s="31">
        <v>1145</v>
      </c>
      <c r="R20" s="26"/>
      <c r="S20" s="26"/>
      <c r="T20" s="26"/>
    </row>
    <row r="21" spans="1:20" ht="24.75" customHeight="1" thickTop="1" x14ac:dyDescent="0.25">
      <c r="A21" s="35" t="s">
        <v>4</v>
      </c>
      <c r="B21" s="36">
        <v>16.1817546041509</v>
      </c>
      <c r="C21" s="37">
        <v>7.6301904498970403</v>
      </c>
      <c r="D21" s="38">
        <v>0.47153047593119257</v>
      </c>
      <c r="E21" s="39">
        <v>3028</v>
      </c>
      <c r="F21" s="36">
        <v>31.720768563674199</v>
      </c>
      <c r="G21" s="37">
        <v>10.9844027507507</v>
      </c>
      <c r="H21" s="38">
        <v>0.34628425628153769</v>
      </c>
      <c r="I21" s="39">
        <v>1791</v>
      </c>
      <c r="J21" s="36">
        <v>7.2239975404546701</v>
      </c>
      <c r="K21" s="37">
        <v>3.4801610767319402</v>
      </c>
      <c r="L21" s="38">
        <v>0.48175003621511514</v>
      </c>
      <c r="M21" s="39">
        <v>210</v>
      </c>
      <c r="N21" s="36">
        <v>21.786059520268001</v>
      </c>
      <c r="O21" s="37">
        <v>6.0662132373829403</v>
      </c>
      <c r="P21" s="38">
        <v>0.27844471974105378</v>
      </c>
      <c r="Q21" s="39">
        <v>5029</v>
      </c>
    </row>
    <row r="22" spans="1:20" ht="24.75" customHeight="1" x14ac:dyDescent="0.25">
      <c r="A22" s="40"/>
      <c r="B22" s="64"/>
      <c r="C22" s="64"/>
      <c r="D22" s="65"/>
      <c r="E22" s="64"/>
      <c r="F22" s="64"/>
      <c r="G22" s="64"/>
      <c r="H22" s="65"/>
      <c r="I22" s="64"/>
      <c r="J22" s="64"/>
      <c r="K22" s="64"/>
      <c r="L22" s="65"/>
      <c r="M22" s="64"/>
      <c r="N22" s="64"/>
      <c r="O22" s="64"/>
      <c r="P22" s="65"/>
      <c r="Q22" s="64"/>
    </row>
    <row r="23" spans="1:20" x14ac:dyDescent="0.25">
      <c r="A23" s="40" t="s">
        <v>75</v>
      </c>
      <c r="B23" s="44" t="s">
        <v>26</v>
      </c>
      <c r="C23" s="4" t="s">
        <v>62</v>
      </c>
    </row>
    <row r="24" spans="1:20" x14ac:dyDescent="0.25">
      <c r="A24" s="40"/>
      <c r="B24" s="45" t="s">
        <v>28</v>
      </c>
      <c r="C24" s="4" t="s">
        <v>63</v>
      </c>
    </row>
    <row r="25" spans="1:20" x14ac:dyDescent="0.25">
      <c r="A25" s="154" t="s">
        <v>240</v>
      </c>
    </row>
    <row r="26" spans="1:20" x14ac:dyDescent="0.25">
      <c r="A26" s="4" t="str">
        <f>"Die Mittelwertbildung erfolgte über alle Gebäude mit gültigen Werten für "&amp;A3&amp;", also allen mit Werten &gt;= 0. So kann mit den absoluten Häufigkeiten multipliziert werden."</f>
        <v>Die Mittelwertbildung erfolgte über alle Gebäude mit gültigen Werten für d_fl_wueoa_transp [m²], also allen mit Werten &gt;= 0. So kann mit den absoluten Häufigkeiten multipliziert werden.</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conditionalFormatting sqref="D19:D20">
    <cfRule type="expression" dxfId="565" priority="55">
      <formula>OR(D19&gt;=0.5,E19&lt;=5)</formula>
    </cfRule>
    <cfRule type="expression" dxfId="564" priority="56">
      <formula>E19&lt;=1</formula>
    </cfRule>
  </conditionalFormatting>
  <conditionalFormatting sqref="E19:E20">
    <cfRule type="expression" dxfId="563" priority="54">
      <formula>E19&lt;=1</formula>
    </cfRule>
  </conditionalFormatting>
  <conditionalFormatting sqref="C19:C20">
    <cfRule type="expression" dxfId="562" priority="51">
      <formula>OR(D19&gt;=0.5,E19&lt;=5)</formula>
    </cfRule>
    <cfRule type="expression" dxfId="561" priority="53">
      <formula>E19&lt;=1</formula>
    </cfRule>
  </conditionalFormatting>
  <conditionalFormatting sqref="B19:B20">
    <cfRule type="expression" dxfId="560" priority="50">
      <formula>OR(D19&gt;=0.5,E19&lt;=5)</formula>
    </cfRule>
    <cfRule type="expression" dxfId="559" priority="52">
      <formula>E19&lt;=1</formula>
    </cfRule>
  </conditionalFormatting>
  <conditionalFormatting sqref="H19:H20">
    <cfRule type="expression" dxfId="558" priority="48">
      <formula>OR(H19&gt;=0.5,I19&lt;=5)</formula>
    </cfRule>
    <cfRule type="expression" dxfId="557" priority="49">
      <formula>I19&lt;=1</formula>
    </cfRule>
  </conditionalFormatting>
  <conditionalFormatting sqref="I19:I20">
    <cfRule type="expression" dxfId="556" priority="47">
      <formula>I19&lt;=1</formula>
    </cfRule>
  </conditionalFormatting>
  <conditionalFormatting sqref="G19:G20">
    <cfRule type="expression" dxfId="555" priority="44">
      <formula>OR(H19&gt;=0.5,I19&lt;=5)</formula>
    </cfRule>
    <cfRule type="expression" dxfId="554" priority="46">
      <formula>I19&lt;=1</formula>
    </cfRule>
  </conditionalFormatting>
  <conditionalFormatting sqref="F19:F20">
    <cfRule type="expression" dxfId="553" priority="43">
      <formula>OR(H19&gt;=0.5,I19&lt;=5)</formula>
    </cfRule>
    <cfRule type="expression" dxfId="552" priority="45">
      <formula>I19&lt;=1</formula>
    </cfRule>
  </conditionalFormatting>
  <conditionalFormatting sqref="L19:L20">
    <cfRule type="expression" dxfId="551" priority="41">
      <formula>OR(L19&gt;=0.5,M19&lt;=5)</formula>
    </cfRule>
    <cfRule type="expression" dxfId="550" priority="42">
      <formula>M19&lt;=1</formula>
    </cfRule>
  </conditionalFormatting>
  <conditionalFormatting sqref="M19:M20">
    <cfRule type="expression" dxfId="549" priority="40">
      <formula>M19&lt;=1</formula>
    </cfRule>
  </conditionalFormatting>
  <conditionalFormatting sqref="K19:K20">
    <cfRule type="expression" dxfId="548" priority="37">
      <formula>OR(L19&gt;=0.5,M19&lt;=5)</formula>
    </cfRule>
    <cfRule type="expression" dxfId="547" priority="39">
      <formula>M19&lt;=1</formula>
    </cfRule>
  </conditionalFormatting>
  <conditionalFormatting sqref="J19:J20">
    <cfRule type="expression" dxfId="546" priority="36">
      <formula>OR(L19&gt;=0.5,M19&lt;=5)</formula>
    </cfRule>
    <cfRule type="expression" dxfId="545" priority="38">
      <formula>M19&lt;=1</formula>
    </cfRule>
  </conditionalFormatting>
  <conditionalFormatting sqref="P19:P20">
    <cfRule type="expression" dxfId="544" priority="34">
      <formula>OR(P19&gt;=0.5,Q19&lt;=5)</formula>
    </cfRule>
    <cfRule type="expression" dxfId="543" priority="35">
      <formula>Q19&lt;=1</formula>
    </cfRule>
  </conditionalFormatting>
  <conditionalFormatting sqref="Q19:Q20">
    <cfRule type="expression" dxfId="542" priority="33">
      <formula>Q19&lt;=1</formula>
    </cfRule>
  </conditionalFormatting>
  <conditionalFormatting sqref="O19:O20">
    <cfRule type="expression" dxfId="541" priority="30">
      <formula>OR(P19&gt;=0.5,Q19&lt;=5)</formula>
    </cfRule>
    <cfRule type="expression" dxfId="540" priority="32">
      <formula>Q19&lt;=1</formula>
    </cfRule>
  </conditionalFormatting>
  <conditionalFormatting sqref="N19:N20">
    <cfRule type="expression" dxfId="539" priority="29">
      <formula>OR(P19&gt;=0.5,Q19&lt;=5)</formula>
    </cfRule>
    <cfRule type="expression" dxfId="538" priority="31">
      <formula>Q19&lt;=1</formula>
    </cfRule>
  </conditionalFormatting>
  <conditionalFormatting sqref="M5:M16">
    <cfRule type="expression" dxfId="537" priority="28">
      <formula>M5&lt;=1</formula>
    </cfRule>
  </conditionalFormatting>
  <conditionalFormatting sqref="J5:J16">
    <cfRule type="expression" dxfId="536" priority="22">
      <formula>OR(L5&gt;=0.5,M5&lt;=5)</formula>
    </cfRule>
    <cfRule type="expression" dxfId="535" priority="25">
      <formula>M5&lt;=1</formula>
    </cfRule>
  </conditionalFormatting>
  <conditionalFormatting sqref="K5:K16">
    <cfRule type="expression" dxfId="534" priority="23">
      <formula>OR(L5&gt;=0.5,M5&lt;=5)</formula>
    </cfRule>
    <cfRule type="expression" dxfId="533" priority="26">
      <formula>M5&lt;=1</formula>
    </cfRule>
  </conditionalFormatting>
  <conditionalFormatting sqref="L5:L16">
    <cfRule type="expression" dxfId="532" priority="24">
      <formula>OR(L5&gt;=0.5,M5&lt;=5)</formula>
    </cfRule>
    <cfRule type="expression" dxfId="531" priority="27">
      <formula>M5&lt;=1</formula>
    </cfRule>
  </conditionalFormatting>
  <conditionalFormatting sqref="Q5:Q16">
    <cfRule type="expression" dxfId="530" priority="21">
      <formula>Q5&lt;=1</formula>
    </cfRule>
  </conditionalFormatting>
  <conditionalFormatting sqref="N5:N16">
    <cfRule type="expression" dxfId="529" priority="15">
      <formula>OR(P5&gt;=0.5,Q5&lt;=5)</formula>
    </cfRule>
    <cfRule type="expression" dxfId="528" priority="18">
      <formula>Q5&lt;=1</formula>
    </cfRule>
  </conditionalFormatting>
  <conditionalFormatting sqref="O5:O16">
    <cfRule type="expression" dxfId="527" priority="16">
      <formula>OR(P5&gt;=0.5,Q5&lt;=5)</formula>
    </cfRule>
    <cfRule type="expression" dxfId="526" priority="19">
      <formula>Q5&lt;=1</formula>
    </cfRule>
  </conditionalFormatting>
  <conditionalFormatting sqref="P5:P16">
    <cfRule type="expression" dxfId="525" priority="17">
      <formula>OR(P5&gt;=0.5,Q5&lt;=5)</formula>
    </cfRule>
    <cfRule type="expression" dxfId="524" priority="20">
      <formula>Q5&lt;=1</formula>
    </cfRule>
  </conditionalFormatting>
  <conditionalFormatting sqref="E5:E16">
    <cfRule type="expression" dxfId="523" priority="14">
      <formula>E5&lt;=1</formula>
    </cfRule>
  </conditionalFormatting>
  <conditionalFormatting sqref="B5:B16">
    <cfRule type="expression" dxfId="522" priority="8">
      <formula>OR(D5&gt;=0.5,E5&lt;=5)</formula>
    </cfRule>
    <cfRule type="expression" dxfId="521" priority="11">
      <formula>E5&lt;=1</formula>
    </cfRule>
  </conditionalFormatting>
  <conditionalFormatting sqref="C5:C16">
    <cfRule type="expression" dxfId="520" priority="9">
      <formula>OR(D5&gt;=0.5,E5&lt;=5)</formula>
    </cfRule>
    <cfRule type="expression" dxfId="519" priority="12">
      <formula>E5&lt;=1</formula>
    </cfRule>
  </conditionalFormatting>
  <conditionalFormatting sqref="D5:D16">
    <cfRule type="expression" dxfId="518" priority="10">
      <formula>OR(D5&gt;=0.5,E5&lt;=5)</formula>
    </cfRule>
    <cfRule type="expression" dxfId="517" priority="13">
      <formula>E5&lt;=1</formula>
    </cfRule>
  </conditionalFormatting>
  <conditionalFormatting sqref="I5:I16">
    <cfRule type="expression" dxfId="516" priority="7">
      <formula>I5&lt;=1</formula>
    </cfRule>
  </conditionalFormatting>
  <conditionalFormatting sqref="F5:F16">
    <cfRule type="expression" dxfId="515" priority="1">
      <formula>OR(H5&gt;=0.5,I5&lt;=5)</formula>
    </cfRule>
    <cfRule type="expression" dxfId="514" priority="4">
      <formula>I5&lt;=1</formula>
    </cfRule>
  </conditionalFormatting>
  <conditionalFormatting sqref="G5:G16">
    <cfRule type="expression" dxfId="513" priority="2">
      <formula>OR(H5&gt;=0.5,I5&lt;=5)</formula>
    </cfRule>
    <cfRule type="expression" dxfId="512" priority="5">
      <formula>I5&lt;=1</formula>
    </cfRule>
  </conditionalFormatting>
  <conditionalFormatting sqref="H5:H16">
    <cfRule type="expression" dxfId="511" priority="3">
      <formula>OR(H5&gt;=0.5,I5&lt;=5)</formula>
    </cfRule>
    <cfRule type="expression" dxfId="510" priority="6">
      <formula>I5&lt;=1</formula>
    </cfRule>
  </conditionalFormatting>
  <hyperlinks>
    <hyperlink ref="A25" location="Überblick!A1" display="zurück zur Übersicht" xr:uid="{007FDDD2-E5C1-4181-9DA5-A93D7DB59ABF}"/>
  </hyperlinks>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22A68-FAAD-48CD-870A-0BD5B7222196}">
  <sheetPr codeName="Tabelle11"/>
  <dimension ref="A1:T25"/>
  <sheetViews>
    <sheetView showGridLines="0" zoomScaleNormal="100" workbookViewId="0">
      <pane xSplit="1" ySplit="4" topLeftCell="B11"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65.710937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"1.3.17. "&amp;A2&amp;" ("&amp;A3&amp;") in m2; Bezug: alle GEG-relevanten Nichtwohngebäude, differenziert nach Gebäude-Hauptfunktion und grober Gebäude-Baualtersklasse (Breitenerhebung)"</f>
        <v>1.3.17. Mittlere wärmeübertragende Fläche des unteren Gebäudeabschlusses (UG_fl_wueuA (=GEB_FLAECHE)) in m2; Bezug: alle GEG-relevanten Nichtwohngebäude, differenziert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2" t="s">
        <v>76</v>
      </c>
      <c r="B2" s="6" t="s">
        <v>0</v>
      </c>
      <c r="C2" s="7"/>
      <c r="D2" s="7"/>
      <c r="E2" s="7"/>
      <c r="F2" s="7"/>
      <c r="G2" s="7"/>
      <c r="H2" s="7"/>
      <c r="I2" s="7"/>
      <c r="J2" s="7"/>
      <c r="K2" s="7"/>
      <c r="L2" s="7"/>
      <c r="M2" s="8"/>
      <c r="N2" s="170"/>
      <c r="O2" s="171"/>
      <c r="P2" s="171"/>
      <c r="Q2" s="172"/>
    </row>
    <row r="3" spans="1:20" ht="50.25" customHeight="1" x14ac:dyDescent="0.25">
      <c r="A3" s="52" t="s">
        <v>77</v>
      </c>
      <c r="B3" s="11" t="s">
        <v>1</v>
      </c>
      <c r="C3" s="12"/>
      <c r="D3" s="12"/>
      <c r="E3" s="13"/>
      <c r="F3" s="11" t="s">
        <v>33</v>
      </c>
      <c r="G3" s="12"/>
      <c r="H3" s="12"/>
      <c r="I3" s="13"/>
      <c r="J3" s="11" t="s">
        <v>3</v>
      </c>
      <c r="K3" s="12"/>
      <c r="L3" s="12"/>
      <c r="M3" s="14"/>
      <c r="N3" s="170" t="s">
        <v>4</v>
      </c>
      <c r="O3" s="171"/>
      <c r="P3" s="171"/>
      <c r="Q3" s="172"/>
    </row>
    <row r="4" spans="1:20" ht="50.25" customHeight="1" x14ac:dyDescent="0.25">
      <c r="A4" s="5" t="s">
        <v>5</v>
      </c>
      <c r="B4" s="17" t="str">
        <f>"Mittlere "&amp;$A$3&amp;" in m2"</f>
        <v>Mittlere UG_fl_wueuA (=GEB_FLAECHE) in m2</v>
      </c>
      <c r="C4" s="18" t="s">
        <v>56</v>
      </c>
      <c r="D4" s="18" t="s">
        <v>8</v>
      </c>
      <c r="E4" s="19" t="s">
        <v>9</v>
      </c>
      <c r="F4" s="17" t="str">
        <f>"Mittlere "&amp;$A$3&amp;" in m2"</f>
        <v>Mittlere UG_fl_wueuA (=GEB_FLAECHE) in m2</v>
      </c>
      <c r="G4" s="18" t="s">
        <v>57</v>
      </c>
      <c r="H4" s="18" t="s">
        <v>8</v>
      </c>
      <c r="I4" s="19" t="s">
        <v>9</v>
      </c>
      <c r="J4" s="17" t="str">
        <f>"Mittlere "&amp;$A$3&amp;" in m2"</f>
        <v>Mittlere UG_fl_wueuA (=GEB_FLAECHE) in m2</v>
      </c>
      <c r="K4" s="18" t="s">
        <v>57</v>
      </c>
      <c r="L4" s="18" t="s">
        <v>8</v>
      </c>
      <c r="M4" s="20" t="s">
        <v>9</v>
      </c>
      <c r="N4" s="17" t="str">
        <f>"Mittlere "&amp;$A$3&amp;" in m2"</f>
        <v>Mittlere UG_fl_wueuA (=GEB_FLAECHE) in m2</v>
      </c>
      <c r="O4" s="18" t="s">
        <v>57</v>
      </c>
      <c r="P4" s="18" t="s">
        <v>8</v>
      </c>
      <c r="Q4" s="19" t="s">
        <v>9</v>
      </c>
    </row>
    <row r="5" spans="1:20" ht="19.5" customHeight="1" x14ac:dyDescent="0.25">
      <c r="A5" s="21" t="s">
        <v>10</v>
      </c>
      <c r="B5" s="53">
        <v>736.58718343974101</v>
      </c>
      <c r="C5" s="54">
        <v>211.82947017279699</v>
      </c>
      <c r="D5" s="24">
        <v>0.28758234589908038</v>
      </c>
      <c r="E5" s="25">
        <v>632</v>
      </c>
      <c r="F5" s="53">
        <v>566.42971095094401</v>
      </c>
      <c r="G5" s="54">
        <v>116.757985697248</v>
      </c>
      <c r="H5" s="24">
        <v>0.20612969877803586</v>
      </c>
      <c r="I5" s="25">
        <v>351</v>
      </c>
      <c r="J5" s="53">
        <v>409.10703891726502</v>
      </c>
      <c r="K5" s="54">
        <v>110.944948630387</v>
      </c>
      <c r="L5" s="24">
        <v>0.27118807078952201</v>
      </c>
      <c r="M5" s="25">
        <v>31</v>
      </c>
      <c r="N5" s="53">
        <v>666.08536966839699</v>
      </c>
      <c r="O5" s="54">
        <v>138.621787135885</v>
      </c>
      <c r="P5" s="24">
        <v>0.20811414489541524</v>
      </c>
      <c r="Q5" s="25">
        <v>1014</v>
      </c>
      <c r="R5" s="26"/>
      <c r="S5" s="26"/>
      <c r="T5" s="26"/>
    </row>
    <row r="6" spans="1:20" ht="19.5" customHeight="1" x14ac:dyDescent="0.25">
      <c r="A6" s="27" t="s">
        <v>11</v>
      </c>
      <c r="B6" s="55">
        <v>1147.9278937915201</v>
      </c>
      <c r="C6" s="56">
        <v>404.575151172441</v>
      </c>
      <c r="D6" s="30">
        <v>0.35243951589690836</v>
      </c>
      <c r="E6" s="31">
        <v>63</v>
      </c>
      <c r="F6" s="55">
        <v>761.95344315533396</v>
      </c>
      <c r="G6" s="56">
        <v>402.53277435139398</v>
      </c>
      <c r="H6" s="30">
        <v>0.52829051166756458</v>
      </c>
      <c r="I6" s="31">
        <v>51</v>
      </c>
      <c r="J6" s="55">
        <v>1008.02521355588</v>
      </c>
      <c r="K6" s="56">
        <v>107.49655099679499</v>
      </c>
      <c r="L6" s="30">
        <v>0.10664073631411791</v>
      </c>
      <c r="M6" s="31">
        <v>16</v>
      </c>
      <c r="N6" s="55">
        <v>988.47008508606302</v>
      </c>
      <c r="O6" s="56">
        <v>247.12843491162201</v>
      </c>
      <c r="P6" s="30">
        <v>0.25001104094121906</v>
      </c>
      <c r="Q6" s="31">
        <v>130</v>
      </c>
      <c r="R6" s="26"/>
      <c r="S6" s="26"/>
      <c r="T6" s="26"/>
    </row>
    <row r="7" spans="1:20" ht="19.5" customHeight="1" x14ac:dyDescent="0.25">
      <c r="A7" s="27" t="s">
        <v>12</v>
      </c>
      <c r="B7" s="55">
        <v>1141.2086291754399</v>
      </c>
      <c r="C7" s="56">
        <v>247.09055498969801</v>
      </c>
      <c r="D7" s="30">
        <v>0.21651654979881191</v>
      </c>
      <c r="E7" s="31">
        <v>110</v>
      </c>
      <c r="F7" s="55">
        <v>833.52624069049295</v>
      </c>
      <c r="G7" s="56">
        <v>217.38707979246399</v>
      </c>
      <c r="H7" s="30">
        <v>0.26080412251014506</v>
      </c>
      <c r="I7" s="31">
        <v>70</v>
      </c>
      <c r="J7" s="55">
        <v>847.35272004138596</v>
      </c>
      <c r="K7" s="56">
        <v>364.83295926506202</v>
      </c>
      <c r="L7" s="30">
        <v>0.43055619063480793</v>
      </c>
      <c r="M7" s="31">
        <v>13</v>
      </c>
      <c r="N7" s="55">
        <v>953.45058200100095</v>
      </c>
      <c r="O7" s="56">
        <v>164.23791325332101</v>
      </c>
      <c r="P7" s="30">
        <v>0.1722563459016784</v>
      </c>
      <c r="Q7" s="31">
        <v>193</v>
      </c>
      <c r="R7" s="26"/>
      <c r="S7" s="26"/>
      <c r="T7" s="26"/>
    </row>
    <row r="8" spans="1:20" ht="19.5" customHeight="1" x14ac:dyDescent="0.25">
      <c r="A8" s="27" t="s">
        <v>13</v>
      </c>
      <c r="B8" s="55">
        <v>927.89303657175105</v>
      </c>
      <c r="C8" s="56">
        <v>79.478971116470206</v>
      </c>
      <c r="D8" s="30">
        <v>8.5655315843427338E-2</v>
      </c>
      <c r="E8" s="31">
        <v>806</v>
      </c>
      <c r="F8" s="55">
        <v>592.07209275561297</v>
      </c>
      <c r="G8" s="56">
        <v>176.15607697281899</v>
      </c>
      <c r="H8" s="30">
        <v>0.29752470877820986</v>
      </c>
      <c r="I8" s="31">
        <v>290</v>
      </c>
      <c r="J8" s="55">
        <v>424.57692919931202</v>
      </c>
      <c r="K8" s="56">
        <v>188.69221665923001</v>
      </c>
      <c r="L8" s="30">
        <v>0.44442409297903923</v>
      </c>
      <c r="M8" s="31">
        <v>33</v>
      </c>
      <c r="N8" s="55">
        <v>772.05442508408396</v>
      </c>
      <c r="O8" s="56">
        <v>108.939339620863</v>
      </c>
      <c r="P8" s="30">
        <v>0.14110318661666693</v>
      </c>
      <c r="Q8" s="31">
        <v>1129</v>
      </c>
      <c r="R8" s="26"/>
      <c r="S8" s="26"/>
      <c r="T8" s="26"/>
    </row>
    <row r="9" spans="1:20" ht="19.5" customHeight="1" x14ac:dyDescent="0.25">
      <c r="A9" s="27" t="s">
        <v>14</v>
      </c>
      <c r="B9" s="55">
        <v>429.06617672512499</v>
      </c>
      <c r="C9" s="56">
        <v>51.201160045141599</v>
      </c>
      <c r="D9" s="30">
        <v>0.11933161554690171</v>
      </c>
      <c r="E9" s="31">
        <v>349</v>
      </c>
      <c r="F9" s="55">
        <v>588.33688985401898</v>
      </c>
      <c r="G9" s="56">
        <v>150.66125870029401</v>
      </c>
      <c r="H9" s="30">
        <v>0.25607991152429149</v>
      </c>
      <c r="I9" s="31">
        <v>132</v>
      </c>
      <c r="J9" s="55">
        <v>218.05268960254401</v>
      </c>
      <c r="K9" s="56">
        <v>85.351505191384902</v>
      </c>
      <c r="L9" s="30">
        <v>0.39142606012775871</v>
      </c>
      <c r="M9" s="31">
        <v>20</v>
      </c>
      <c r="N9" s="55">
        <v>463.713201629374</v>
      </c>
      <c r="O9" s="56">
        <v>59.5863828477178</v>
      </c>
      <c r="P9" s="30">
        <v>0.12849835337520243</v>
      </c>
      <c r="Q9" s="31">
        <v>501</v>
      </c>
      <c r="R9" s="26"/>
      <c r="S9" s="26"/>
      <c r="T9" s="26"/>
    </row>
    <row r="10" spans="1:20" ht="19.5" customHeight="1" x14ac:dyDescent="0.25">
      <c r="A10" s="27" t="s">
        <v>15</v>
      </c>
      <c r="B10" s="55">
        <v>1147.4125755545199</v>
      </c>
      <c r="C10" s="56">
        <v>265.718842745237</v>
      </c>
      <c r="D10" s="30">
        <v>0.23158090507838541</v>
      </c>
      <c r="E10" s="31">
        <v>231</v>
      </c>
      <c r="F10" s="55">
        <v>1211.77264865489</v>
      </c>
      <c r="G10" s="56">
        <v>183.61181683477099</v>
      </c>
      <c r="H10" s="30">
        <v>0.15152332167142618</v>
      </c>
      <c r="I10" s="31">
        <v>134</v>
      </c>
      <c r="J10" s="55">
        <v>519.13319896810503</v>
      </c>
      <c r="K10" s="56">
        <v>228.85194277132601</v>
      </c>
      <c r="L10" s="30">
        <v>0.4408347284015377</v>
      </c>
      <c r="M10" s="31">
        <v>11</v>
      </c>
      <c r="N10" s="55">
        <v>1131.3629967602001</v>
      </c>
      <c r="O10" s="56">
        <v>186.947488492123</v>
      </c>
      <c r="P10" s="30">
        <v>0.16524094302842729</v>
      </c>
      <c r="Q10" s="31">
        <v>376</v>
      </c>
      <c r="R10" s="26"/>
      <c r="S10" s="26"/>
      <c r="T10" s="26"/>
    </row>
    <row r="11" spans="1:20" ht="19.5" customHeight="1" x14ac:dyDescent="0.25">
      <c r="A11" s="27" t="s">
        <v>16</v>
      </c>
      <c r="B11" s="55">
        <v>267.38467789369702</v>
      </c>
      <c r="C11" s="56">
        <v>34.381575175164699</v>
      </c>
      <c r="D11" s="30">
        <v>0.12858468722292918</v>
      </c>
      <c r="E11" s="31">
        <v>227</v>
      </c>
      <c r="F11" s="55">
        <v>324.961268369084</v>
      </c>
      <c r="G11" s="56">
        <v>133.365901401157</v>
      </c>
      <c r="H11" s="30">
        <v>0.41040552946661596</v>
      </c>
      <c r="I11" s="31">
        <v>115</v>
      </c>
      <c r="J11" s="55">
        <v>634.17849223277301</v>
      </c>
      <c r="K11" s="56">
        <v>168.99626376353601</v>
      </c>
      <c r="L11" s="30">
        <v>0.26648059786535067</v>
      </c>
      <c r="M11" s="31">
        <v>11</v>
      </c>
      <c r="N11" s="55">
        <v>283.659067619398</v>
      </c>
      <c r="O11" s="56">
        <v>39.491256499307497</v>
      </c>
      <c r="P11" s="30">
        <v>0.13922084998282244</v>
      </c>
      <c r="Q11" s="31">
        <v>353</v>
      </c>
      <c r="R11" s="26"/>
      <c r="S11" s="26"/>
      <c r="T11" s="26"/>
    </row>
    <row r="12" spans="1:20" ht="19.5" customHeight="1" x14ac:dyDescent="0.25">
      <c r="A12" s="27" t="s">
        <v>17</v>
      </c>
      <c r="B12" s="55">
        <v>854.04301444479404</v>
      </c>
      <c r="C12" s="56">
        <v>183.296847025749</v>
      </c>
      <c r="D12" s="30">
        <v>0.21462250018508575</v>
      </c>
      <c r="E12" s="31">
        <v>501</v>
      </c>
      <c r="F12" s="55">
        <v>1375.8528803858401</v>
      </c>
      <c r="G12" s="56">
        <v>264.31822319741701</v>
      </c>
      <c r="H12" s="30">
        <v>0.19211227229708774</v>
      </c>
      <c r="I12" s="31">
        <v>521</v>
      </c>
      <c r="J12" s="55">
        <v>852.40607983073403</v>
      </c>
      <c r="K12" s="56">
        <v>283.13947417839398</v>
      </c>
      <c r="L12" s="30">
        <v>0.33216501017287231</v>
      </c>
      <c r="M12" s="31">
        <v>64</v>
      </c>
      <c r="N12" s="55">
        <v>1066.25906561392</v>
      </c>
      <c r="O12" s="56">
        <v>150.38100676069999</v>
      </c>
      <c r="P12" s="30">
        <v>0.14103608739224657</v>
      </c>
      <c r="Q12" s="31">
        <v>1086</v>
      </c>
      <c r="R12" s="26"/>
      <c r="S12" s="26"/>
      <c r="T12" s="26"/>
    </row>
    <row r="13" spans="1:20" ht="19.5" customHeight="1" x14ac:dyDescent="0.25">
      <c r="A13" s="27" t="s">
        <v>18</v>
      </c>
      <c r="B13" s="55">
        <v>2680.8096534955198</v>
      </c>
      <c r="C13" s="56">
        <v>1720.71371215874</v>
      </c>
      <c r="D13" s="30">
        <v>0.64186344223100422</v>
      </c>
      <c r="E13" s="31">
        <v>104</v>
      </c>
      <c r="F13" s="55">
        <v>1606.2325027413599</v>
      </c>
      <c r="G13" s="56">
        <v>367.46689752884703</v>
      </c>
      <c r="H13" s="30">
        <v>0.22877565788370652</v>
      </c>
      <c r="I13" s="31">
        <v>126</v>
      </c>
      <c r="J13" s="55">
        <v>1683.6920020616501</v>
      </c>
      <c r="K13" s="56">
        <v>387.34136056961302</v>
      </c>
      <c r="L13" s="30">
        <v>0.23005476066603667</v>
      </c>
      <c r="M13" s="31">
        <v>14</v>
      </c>
      <c r="N13" s="55">
        <v>2144.5980323164399</v>
      </c>
      <c r="O13" s="56">
        <v>883.94934144419199</v>
      </c>
      <c r="P13" s="30">
        <v>0.41217483562148649</v>
      </c>
      <c r="Q13" s="31">
        <v>244</v>
      </c>
      <c r="R13" s="26"/>
      <c r="S13" s="26"/>
      <c r="T13" s="26"/>
    </row>
    <row r="14" spans="1:20" ht="19.5" customHeight="1" x14ac:dyDescent="0.25">
      <c r="A14" s="27" t="s">
        <v>19</v>
      </c>
      <c r="B14" s="57">
        <v>357.668186763221</v>
      </c>
      <c r="C14" s="58">
        <v>52.166470073596102</v>
      </c>
      <c r="D14" s="30">
        <v>0.14585157977198204</v>
      </c>
      <c r="E14" s="31">
        <v>26</v>
      </c>
      <c r="F14" s="57">
        <v>232.589116235419</v>
      </c>
      <c r="G14" s="58">
        <v>37.6903957325232</v>
      </c>
      <c r="H14" s="30">
        <v>0.16204711700428076</v>
      </c>
      <c r="I14" s="31">
        <v>25</v>
      </c>
      <c r="J14" s="57">
        <v>251.317519486902</v>
      </c>
      <c r="K14" s="58">
        <v>85.668908677994096</v>
      </c>
      <c r="L14" s="30">
        <v>0.34087917488959196</v>
      </c>
      <c r="M14" s="31">
        <v>1</v>
      </c>
      <c r="N14" s="57">
        <v>262.68377019662302</v>
      </c>
      <c r="O14" s="58">
        <v>36.072940981049797</v>
      </c>
      <c r="P14" s="30">
        <v>0.13732458976833103</v>
      </c>
      <c r="Q14" s="31">
        <v>52</v>
      </c>
      <c r="R14" s="26"/>
      <c r="S14" s="26"/>
      <c r="T14" s="26"/>
    </row>
    <row r="15" spans="1:20" ht="19.5" customHeight="1" thickBot="1" x14ac:dyDescent="0.3">
      <c r="A15" s="27" t="s">
        <v>20</v>
      </c>
      <c r="B15" s="57">
        <v>650.51461990450605</v>
      </c>
      <c r="C15" s="59">
        <v>277.00489680614299</v>
      </c>
      <c r="D15" s="30">
        <v>0.42582424488293075</v>
      </c>
      <c r="E15" s="31">
        <v>15</v>
      </c>
      <c r="F15" s="57">
        <v>871.32109065933003</v>
      </c>
      <c r="G15" s="59">
        <v>90.953192368896495</v>
      </c>
      <c r="H15" s="30">
        <v>0.10438539057980574</v>
      </c>
      <c r="I15" s="31">
        <v>9</v>
      </c>
      <c r="J15" s="57">
        <v>224.369050840482</v>
      </c>
      <c r="K15" s="59">
        <v>29.619573898361502</v>
      </c>
      <c r="L15" s="30">
        <v>0.13201274323444864</v>
      </c>
      <c r="M15" s="31">
        <v>1</v>
      </c>
      <c r="N15" s="57">
        <v>695.53028132798704</v>
      </c>
      <c r="O15" s="59">
        <v>166.07885825554499</v>
      </c>
      <c r="P15" s="30">
        <v>0.23878019794975422</v>
      </c>
      <c r="Q15" s="31">
        <v>25</v>
      </c>
      <c r="R15" s="26"/>
      <c r="S15" s="26"/>
      <c r="T15" s="26"/>
    </row>
    <row r="16" spans="1:20" ht="24.75" customHeight="1" thickTop="1" x14ac:dyDescent="0.25">
      <c r="A16" s="35" t="s">
        <v>4</v>
      </c>
      <c r="B16" s="60">
        <v>864.60959510202395</v>
      </c>
      <c r="C16" s="61">
        <v>161.03964622367201</v>
      </c>
      <c r="D16" s="38">
        <v>0.18625706577391074</v>
      </c>
      <c r="E16" s="39">
        <v>3064</v>
      </c>
      <c r="F16" s="60">
        <v>974.67123095631496</v>
      </c>
      <c r="G16" s="61">
        <v>113.152892033188</v>
      </c>
      <c r="H16" s="38">
        <v>0.11609339481803126</v>
      </c>
      <c r="I16" s="39">
        <v>1824</v>
      </c>
      <c r="J16" s="60">
        <v>680.51934655387095</v>
      </c>
      <c r="K16" s="61">
        <v>131.68767511117699</v>
      </c>
      <c r="L16" s="38">
        <v>0.19351055304752074</v>
      </c>
      <c r="M16" s="39">
        <v>215</v>
      </c>
      <c r="N16" s="62">
        <v>899.52831147766597</v>
      </c>
      <c r="O16" s="61">
        <v>104.527929528784</v>
      </c>
      <c r="P16" s="38">
        <v>0.11620304574635869</v>
      </c>
      <c r="Q16" s="39">
        <v>5103</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5" t="s">
        <v>52</v>
      </c>
      <c r="B18" s="17" t="str">
        <f>"Mittlere "&amp;$A$3&amp;" in m2"</f>
        <v>Mittlere UG_fl_wueuA (=GEB_FLAECHE) in m2</v>
      </c>
      <c r="C18" s="18" t="s">
        <v>56</v>
      </c>
      <c r="D18" s="18" t="s">
        <v>8</v>
      </c>
      <c r="E18" s="19" t="s">
        <v>9</v>
      </c>
      <c r="F18" s="17" t="str">
        <f>"Mittlere "&amp;$A$3&amp;" in m2"</f>
        <v>Mittlere UG_fl_wueuA (=GEB_FLAECHE) in m2</v>
      </c>
      <c r="G18" s="18" t="s">
        <v>57</v>
      </c>
      <c r="H18" s="18" t="s">
        <v>8</v>
      </c>
      <c r="I18" s="19" t="s">
        <v>9</v>
      </c>
      <c r="J18" s="17" t="str">
        <f>"Mittlere "&amp;$A$3&amp;" in m2"</f>
        <v>Mittlere UG_fl_wueuA (=GEB_FLAECHE) in m2</v>
      </c>
      <c r="K18" s="18" t="s">
        <v>57</v>
      </c>
      <c r="L18" s="18" t="s">
        <v>8</v>
      </c>
      <c r="M18" s="20" t="s">
        <v>9</v>
      </c>
      <c r="N18" s="17" t="str">
        <f>"Mittlere "&amp;$A$3&amp;" in m2"</f>
        <v>Mittlere UG_fl_wueuA (=GEB_FLAECHE) in m2</v>
      </c>
      <c r="O18" s="18" t="s">
        <v>57</v>
      </c>
      <c r="P18" s="18" t="s">
        <v>8</v>
      </c>
      <c r="Q18" s="19" t="s">
        <v>9</v>
      </c>
    </row>
    <row r="19" spans="1:20" ht="19.5" customHeight="1" x14ac:dyDescent="0.25">
      <c r="A19" s="27" t="s">
        <v>78</v>
      </c>
      <c r="B19" s="53">
        <v>884.87381607393002</v>
      </c>
      <c r="C19" s="54">
        <v>231.76768607836499</v>
      </c>
      <c r="D19" s="24">
        <v>0.26192173603541358</v>
      </c>
      <c r="E19" s="25">
        <v>2522</v>
      </c>
      <c r="F19" s="53">
        <v>813.06607459952295</v>
      </c>
      <c r="G19" s="54">
        <v>112.62217395591099</v>
      </c>
      <c r="H19" s="24">
        <v>0.13851540172966045</v>
      </c>
      <c r="I19" s="25">
        <v>1269</v>
      </c>
      <c r="J19" s="53">
        <v>582.70085288315602</v>
      </c>
      <c r="K19" s="54">
        <v>113.97134116898</v>
      </c>
      <c r="L19" s="24">
        <v>0.19559151253178911</v>
      </c>
      <c r="M19" s="25">
        <v>149</v>
      </c>
      <c r="N19" s="53">
        <v>848.63735817091504</v>
      </c>
      <c r="O19" s="54">
        <v>149.55499580150399</v>
      </c>
      <c r="P19" s="24">
        <v>0.17622956892192779</v>
      </c>
      <c r="Q19" s="25">
        <v>3940</v>
      </c>
      <c r="R19" s="26"/>
      <c r="S19" s="26"/>
      <c r="T19" s="26"/>
    </row>
    <row r="20" spans="1:20" ht="19.5" customHeight="1" thickBot="1" x14ac:dyDescent="0.3">
      <c r="A20" s="27" t="s">
        <v>79</v>
      </c>
      <c r="B20" s="55">
        <v>826.12456290298405</v>
      </c>
      <c r="C20" s="56">
        <v>167.61613680084301</v>
      </c>
      <c r="D20" s="30">
        <v>0.2028945080773818</v>
      </c>
      <c r="E20" s="31">
        <v>542</v>
      </c>
      <c r="F20" s="55">
        <v>1182.4310770623299</v>
      </c>
      <c r="G20" s="56">
        <v>217.14798236096499</v>
      </c>
      <c r="H20" s="30">
        <v>0.18364536130127304</v>
      </c>
      <c r="I20" s="31">
        <v>555</v>
      </c>
      <c r="J20" s="55">
        <v>820.240968935193</v>
      </c>
      <c r="K20" s="56">
        <v>266.68262780412698</v>
      </c>
      <c r="L20" s="30">
        <v>0.32512717348211062</v>
      </c>
      <c r="M20" s="31">
        <v>66</v>
      </c>
      <c r="N20" s="55">
        <v>981.53495864231195</v>
      </c>
      <c r="O20" s="56">
        <v>131.620451582664</v>
      </c>
      <c r="P20" s="30">
        <v>0.13409654992291389</v>
      </c>
      <c r="Q20" s="31">
        <v>1163</v>
      </c>
      <c r="R20" s="26"/>
      <c r="S20" s="26"/>
      <c r="T20" s="26"/>
    </row>
    <row r="21" spans="1:20" ht="24.75" customHeight="1" thickTop="1" x14ac:dyDescent="0.25">
      <c r="A21" s="35" t="s">
        <v>4</v>
      </c>
      <c r="B21" s="60">
        <v>864.60959510202395</v>
      </c>
      <c r="C21" s="61">
        <v>161.03964622367201</v>
      </c>
      <c r="D21" s="38">
        <v>0.18625706577391074</v>
      </c>
      <c r="E21" s="39">
        <v>3064</v>
      </c>
      <c r="F21" s="60">
        <v>974.67123095631496</v>
      </c>
      <c r="G21" s="61">
        <v>113.152892033188</v>
      </c>
      <c r="H21" s="38">
        <v>0.11609339481803126</v>
      </c>
      <c r="I21" s="39">
        <v>1824</v>
      </c>
      <c r="J21" s="60">
        <v>680.51934655387095</v>
      </c>
      <c r="K21" s="61">
        <v>131.68767511117699</v>
      </c>
      <c r="L21" s="38">
        <v>0.19351055304752074</v>
      </c>
      <c r="M21" s="39">
        <v>215</v>
      </c>
      <c r="N21" s="60">
        <v>899.52831147766597</v>
      </c>
      <c r="O21" s="61">
        <v>104.527929528784</v>
      </c>
      <c r="P21" s="38">
        <v>0.11620304574635869</v>
      </c>
      <c r="Q21" s="39">
        <v>5103</v>
      </c>
    </row>
    <row r="23" spans="1:20" x14ac:dyDescent="0.25">
      <c r="A23" s="40" t="s">
        <v>80</v>
      </c>
      <c r="B23" s="44" t="s">
        <v>26</v>
      </c>
      <c r="C23" s="4" t="s">
        <v>62</v>
      </c>
    </row>
    <row r="24" spans="1:20" x14ac:dyDescent="0.25">
      <c r="A24" s="40"/>
      <c r="B24" s="45" t="s">
        <v>28</v>
      </c>
      <c r="C24" s="4" t="s">
        <v>63</v>
      </c>
    </row>
    <row r="25" spans="1:20" x14ac:dyDescent="0.25">
      <c r="A25" s="154" t="s">
        <v>240</v>
      </c>
    </row>
  </sheetData>
  <mergeCells count="2">
    <mergeCell ref="N2:Q2"/>
    <mergeCell ref="N3:Q3"/>
  </mergeCells>
  <conditionalFormatting sqref="M5:M15">
    <cfRule type="expression" dxfId="509" priority="40">
      <formula>M5&lt;=1</formula>
    </cfRule>
  </conditionalFormatting>
  <conditionalFormatting sqref="L5:L15">
    <cfRule type="expression" dxfId="508" priority="36">
      <formula>OR(L5&gt;=0.5,M5&lt;=5)</formula>
    </cfRule>
    <cfRule type="expression" dxfId="507" priority="39">
      <formula>M5&lt;=1</formula>
    </cfRule>
  </conditionalFormatting>
  <conditionalFormatting sqref="K5:K15">
    <cfRule type="expression" dxfId="506" priority="35">
      <formula>OR(L5&gt;=0.5,M5&lt;=5)</formula>
    </cfRule>
    <cfRule type="expression" dxfId="505" priority="38">
      <formula>M5&lt;=1</formula>
    </cfRule>
  </conditionalFormatting>
  <conditionalFormatting sqref="J5:J15">
    <cfRule type="expression" dxfId="504" priority="34">
      <formula>OR(L5&gt;=0.5,M5&lt;=5)</formula>
    </cfRule>
    <cfRule type="expression" dxfId="503" priority="37">
      <formula>M5&lt;=1</formula>
    </cfRule>
  </conditionalFormatting>
  <conditionalFormatting sqref="I5:I15">
    <cfRule type="expression" dxfId="502" priority="33">
      <formula>I5&lt;=1</formula>
    </cfRule>
  </conditionalFormatting>
  <conditionalFormatting sqref="H5:H15">
    <cfRule type="expression" dxfId="501" priority="29">
      <formula>OR(H5&gt;=0.5,I5&lt;=5)</formula>
    </cfRule>
    <cfRule type="expression" dxfId="500" priority="32">
      <formula>I5&lt;=1</formula>
    </cfRule>
  </conditionalFormatting>
  <conditionalFormatting sqref="G5:G15">
    <cfRule type="expression" dxfId="499" priority="28">
      <formula>OR(H5&gt;=0.5,I5&lt;=5)</formula>
    </cfRule>
    <cfRule type="expression" dxfId="498" priority="31">
      <formula>I5&lt;=1</formula>
    </cfRule>
  </conditionalFormatting>
  <conditionalFormatting sqref="F5:F15">
    <cfRule type="expression" dxfId="497" priority="27">
      <formula>OR(H5&gt;=0.5,I5&lt;=5)</formula>
    </cfRule>
    <cfRule type="expression" dxfId="496" priority="30">
      <formula>I5&lt;=1</formula>
    </cfRule>
  </conditionalFormatting>
  <conditionalFormatting sqref="E5:E15">
    <cfRule type="expression" dxfId="495" priority="26">
      <formula>E5&lt;=1</formula>
    </cfRule>
  </conditionalFormatting>
  <conditionalFormatting sqref="D5:D15">
    <cfRule type="expression" dxfId="494" priority="22">
      <formula>OR(D5&gt;=0.5,E5&lt;=5)</formula>
    </cfRule>
    <cfRule type="expression" dxfId="493" priority="25">
      <formula>E5&lt;=1</formula>
    </cfRule>
  </conditionalFormatting>
  <conditionalFormatting sqref="C5:C15">
    <cfRule type="expression" dxfId="492" priority="21">
      <formula>OR(D5&gt;=0.5,E5&lt;=5)</formula>
    </cfRule>
    <cfRule type="expression" dxfId="491" priority="24">
      <formula>E5&lt;=1</formula>
    </cfRule>
  </conditionalFormatting>
  <conditionalFormatting sqref="B5:B15">
    <cfRule type="expression" dxfId="490" priority="20">
      <formula>OR(D5&gt;=0.5,E5&lt;=5)</formula>
    </cfRule>
    <cfRule type="expression" dxfId="489" priority="23">
      <formula>E5&lt;=1</formula>
    </cfRule>
  </conditionalFormatting>
  <conditionalFormatting sqref="Q5:Q15">
    <cfRule type="expression" dxfId="488" priority="19">
      <formula>Q5&lt;=1</formula>
    </cfRule>
  </conditionalFormatting>
  <conditionalFormatting sqref="P5:P15">
    <cfRule type="expression" dxfId="487" priority="15">
      <formula>OR(P5&gt;=0.5,Q5&lt;=5)</formula>
    </cfRule>
    <cfRule type="expression" dxfId="486" priority="18">
      <formula>Q5&lt;=1</formula>
    </cfRule>
  </conditionalFormatting>
  <conditionalFormatting sqref="O5:O15">
    <cfRule type="expression" dxfId="485" priority="14">
      <formula>OR(P5&gt;=0.5,Q5&lt;=5)</formula>
    </cfRule>
    <cfRule type="expression" dxfId="484" priority="17">
      <formula>Q5&lt;=1</formula>
    </cfRule>
  </conditionalFormatting>
  <conditionalFormatting sqref="N5:N15">
    <cfRule type="expression" dxfId="483" priority="13">
      <formula>OR(P5&gt;=0.5,Q5&lt;=5)</formula>
    </cfRule>
    <cfRule type="expression" dxfId="482" priority="16">
      <formula>Q5&lt;=1</formula>
    </cfRule>
  </conditionalFormatting>
  <conditionalFormatting sqref="L19:L20 H19:H20 D19:D20 P19:P20">
    <cfRule type="expression" dxfId="481" priority="9">
      <formula>OR(D19&gt;=0.5,E19&lt;=5)</formula>
    </cfRule>
    <cfRule type="expression" dxfId="480" priority="12">
      <formula>E19&lt;=1</formula>
    </cfRule>
  </conditionalFormatting>
  <conditionalFormatting sqref="K19:K20 G19:G20 C19:C20 O19:O20">
    <cfRule type="expression" dxfId="479" priority="8">
      <formula>OR(D19&gt;=0.5,E19&lt;=5)</formula>
    </cfRule>
    <cfRule type="expression" dxfId="478" priority="11">
      <formula>E19&lt;=1</formula>
    </cfRule>
  </conditionalFormatting>
  <conditionalFormatting sqref="J19:J20">
    <cfRule type="expression" dxfId="477" priority="7">
      <formula>OR(L19&gt;=0.5,M19&lt;=5)</formula>
    </cfRule>
    <cfRule type="expression" dxfId="476" priority="10">
      <formula>M19&lt;=1</formula>
    </cfRule>
  </conditionalFormatting>
  <conditionalFormatting sqref="F19:F20 B19:B20 N19:N20">
    <cfRule type="expression" dxfId="475" priority="5">
      <formula>OR(D19&gt;=0.5,E19&lt;=5)</formula>
    </cfRule>
    <cfRule type="expression" dxfId="474" priority="6">
      <formula>E19&lt;=1</formula>
    </cfRule>
  </conditionalFormatting>
  <conditionalFormatting sqref="M19:M20">
    <cfRule type="expression" dxfId="473" priority="4">
      <formula>M19&lt;=1</formula>
    </cfRule>
  </conditionalFormatting>
  <conditionalFormatting sqref="I19:I20">
    <cfRule type="expression" dxfId="472" priority="3">
      <formula>I19&lt;=1</formula>
    </cfRule>
  </conditionalFormatting>
  <conditionalFormatting sqref="E19:E20">
    <cfRule type="expression" dxfId="471" priority="2">
      <formula>E19&lt;=1</formula>
    </cfRule>
  </conditionalFormatting>
  <conditionalFormatting sqref="Q19:Q20">
    <cfRule type="expression" dxfId="470" priority="1">
      <formula>Q19&lt;=1</formula>
    </cfRule>
  </conditionalFormatting>
  <hyperlinks>
    <hyperlink ref="A25" location="Überblick!A1" display="zurück zur Übersicht" xr:uid="{E26D5E57-D978-4005-92E0-9B916C399470}"/>
  </hyperlinks>
  <pageMargins left="0.7" right="0.7" top="0.78740157499999996" bottom="0.78740157499999996"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2D3CE-7B18-4FB2-B3D5-A8CC93443957}">
  <dimension ref="A1:T25"/>
  <sheetViews>
    <sheetView workbookViewId="0">
      <selection activeCell="A2" sqref="A2"/>
    </sheetView>
  </sheetViews>
  <sheetFormatPr baseColWidth="10" defaultRowHeight="15" x14ac:dyDescent="0.25"/>
  <cols>
    <col min="1" max="1" width="59.42578125" customWidth="1"/>
  </cols>
  <sheetData>
    <row r="1" spans="1:20" s="4" customFormat="1" ht="36.75" customHeight="1" x14ac:dyDescent="0.25">
      <c r="A1" s="1" t="s">
        <v>264</v>
      </c>
      <c r="B1" s="2"/>
      <c r="C1" s="2"/>
      <c r="D1" s="2"/>
      <c r="E1" s="2"/>
      <c r="F1" s="2"/>
      <c r="G1" s="2"/>
      <c r="H1" s="2"/>
      <c r="I1" s="2"/>
      <c r="J1" s="2"/>
      <c r="K1" s="2"/>
      <c r="L1" s="2"/>
      <c r="M1" s="2"/>
      <c r="N1" s="2"/>
      <c r="O1" s="2"/>
      <c r="P1" s="2"/>
      <c r="Q1" s="3"/>
    </row>
    <row r="2" spans="1:20" s="4" customFormat="1" ht="36.75" customHeight="1" x14ac:dyDescent="0.25">
      <c r="A2" s="86" t="s">
        <v>263</v>
      </c>
      <c r="B2" s="6" t="s">
        <v>0</v>
      </c>
      <c r="C2" s="7"/>
      <c r="D2" s="7"/>
      <c r="E2" s="7"/>
      <c r="F2" s="7"/>
      <c r="G2" s="7"/>
      <c r="H2" s="7"/>
      <c r="I2" s="7"/>
      <c r="J2" s="7"/>
      <c r="K2" s="7"/>
      <c r="L2" s="7"/>
      <c r="M2" s="8"/>
      <c r="N2" s="170"/>
      <c r="O2" s="171"/>
      <c r="P2" s="171"/>
      <c r="Q2" s="172"/>
    </row>
    <row r="3" spans="1:20" s="4" customFormat="1" ht="50.25" customHeight="1" x14ac:dyDescent="0.25">
      <c r="A3" s="52" t="s">
        <v>107</v>
      </c>
      <c r="B3" s="11" t="s">
        <v>1</v>
      </c>
      <c r="C3" s="12"/>
      <c r="D3" s="12"/>
      <c r="E3" s="13"/>
      <c r="F3" s="11" t="s">
        <v>33</v>
      </c>
      <c r="G3" s="12"/>
      <c r="H3" s="12"/>
      <c r="I3" s="13"/>
      <c r="J3" s="11" t="s">
        <v>3</v>
      </c>
      <c r="K3" s="12"/>
      <c r="L3" s="12"/>
      <c r="M3" s="14"/>
      <c r="N3" s="170" t="s">
        <v>4</v>
      </c>
      <c r="O3" s="171"/>
      <c r="P3" s="171"/>
      <c r="Q3" s="172"/>
    </row>
    <row r="4" spans="1:20" s="4" customFormat="1" ht="50.25" customHeight="1" x14ac:dyDescent="0.25">
      <c r="A4" s="5" t="s">
        <v>5</v>
      </c>
      <c r="B4" s="17" t="s">
        <v>108</v>
      </c>
      <c r="C4" s="18" t="s">
        <v>109</v>
      </c>
      <c r="D4" s="18" t="s">
        <v>8</v>
      </c>
      <c r="E4" s="19" t="s">
        <v>9</v>
      </c>
      <c r="F4" s="17" t="s">
        <v>108</v>
      </c>
      <c r="G4" s="18" t="s">
        <v>109</v>
      </c>
      <c r="H4" s="18" t="s">
        <v>8</v>
      </c>
      <c r="I4" s="19" t="s">
        <v>9</v>
      </c>
      <c r="J4" s="17" t="s">
        <v>108</v>
      </c>
      <c r="K4" s="18" t="s">
        <v>109</v>
      </c>
      <c r="L4" s="18" t="s">
        <v>8</v>
      </c>
      <c r="M4" s="20" t="s">
        <v>9</v>
      </c>
      <c r="N4" s="17" t="s">
        <v>108</v>
      </c>
      <c r="O4" s="18" t="s">
        <v>109</v>
      </c>
      <c r="P4" s="18" t="s">
        <v>8</v>
      </c>
      <c r="Q4" s="19" t="s">
        <v>9</v>
      </c>
    </row>
    <row r="5" spans="1:20" s="4" customFormat="1" ht="19.5" customHeight="1" x14ac:dyDescent="0.25">
      <c r="A5" s="21" t="s">
        <v>10</v>
      </c>
      <c r="B5" s="22">
        <v>1.2944202552527917</v>
      </c>
      <c r="C5" s="23">
        <v>0.27758591993400661</v>
      </c>
      <c r="D5" s="24">
        <v>0.21444806569393177</v>
      </c>
      <c r="E5" s="25">
        <v>560</v>
      </c>
      <c r="F5" s="22">
        <v>0.47777714571366936</v>
      </c>
      <c r="G5" s="23">
        <v>0.12406396620360868</v>
      </c>
      <c r="H5" s="24">
        <v>0.259669109995395</v>
      </c>
      <c r="I5" s="25">
        <v>295</v>
      </c>
      <c r="J5" s="22">
        <v>0.19059344214219079</v>
      </c>
      <c r="K5" s="23">
        <v>2.0566233884056213E-2</v>
      </c>
      <c r="L5" s="24">
        <v>0.10790630387331444</v>
      </c>
      <c r="M5" s="25">
        <v>25</v>
      </c>
      <c r="N5" s="22">
        <v>1.0639554233176167</v>
      </c>
      <c r="O5" s="23">
        <v>0.2159180798878586</v>
      </c>
      <c r="P5" s="24">
        <v>0.20293902841773642</v>
      </c>
      <c r="Q5" s="25">
        <v>880</v>
      </c>
      <c r="R5" s="26"/>
      <c r="S5" s="26"/>
      <c r="T5" s="26"/>
    </row>
    <row r="6" spans="1:20" s="4" customFormat="1" ht="19.5" customHeight="1" x14ac:dyDescent="0.25">
      <c r="A6" s="27" t="s">
        <v>11</v>
      </c>
      <c r="B6" s="28">
        <v>1.2766732261559739</v>
      </c>
      <c r="C6" s="29">
        <v>0.53665803604169893</v>
      </c>
      <c r="D6" s="30">
        <v>0.42035661518301026</v>
      </c>
      <c r="E6" s="31">
        <v>58</v>
      </c>
      <c r="F6" s="28">
        <v>0.29210621279400362</v>
      </c>
      <c r="G6" s="29">
        <v>0.1275719652452503</v>
      </c>
      <c r="H6" s="30">
        <v>0.43673143417601801</v>
      </c>
      <c r="I6" s="31">
        <v>46</v>
      </c>
      <c r="J6" s="28">
        <v>0.19951105273427128</v>
      </c>
      <c r="K6" s="29">
        <v>5.3681192732167968E-2</v>
      </c>
      <c r="L6" s="30">
        <v>0.26906375359397222</v>
      </c>
      <c r="M6" s="31">
        <v>15</v>
      </c>
      <c r="N6" s="28">
        <v>0.93301979326091111</v>
      </c>
      <c r="O6" s="29">
        <v>0.31140579009482133</v>
      </c>
      <c r="P6" s="30">
        <v>0.33376118314323833</v>
      </c>
      <c r="Q6" s="31">
        <v>119</v>
      </c>
      <c r="R6" s="26"/>
      <c r="S6" s="26"/>
      <c r="T6" s="26"/>
    </row>
    <row r="7" spans="1:20" s="4" customFormat="1" ht="19.5" customHeight="1" x14ac:dyDescent="0.25">
      <c r="A7" s="27" t="s">
        <v>12</v>
      </c>
      <c r="B7" s="28">
        <v>0.95089624332279377</v>
      </c>
      <c r="C7" s="29">
        <v>0.23259591651770387</v>
      </c>
      <c r="D7" s="30">
        <v>0.24460704114775458</v>
      </c>
      <c r="E7" s="31">
        <v>99</v>
      </c>
      <c r="F7" s="28">
        <v>0.44222471174136002</v>
      </c>
      <c r="G7" s="29">
        <v>0.11508064355676614</v>
      </c>
      <c r="H7" s="30">
        <v>0.2602311460696306</v>
      </c>
      <c r="I7" s="31">
        <v>55</v>
      </c>
      <c r="J7" s="28">
        <v>0.20605718590170977</v>
      </c>
      <c r="K7" s="29">
        <v>6.0423470099201335E-2</v>
      </c>
      <c r="L7" s="30">
        <v>0.29323641315777071</v>
      </c>
      <c r="M7" s="31">
        <v>11</v>
      </c>
      <c r="N7" s="28">
        <v>0.7489883352492942</v>
      </c>
      <c r="O7" s="29">
        <v>0.18871107197424133</v>
      </c>
      <c r="P7" s="30">
        <v>0.25195462077714537</v>
      </c>
      <c r="Q7" s="31">
        <v>165</v>
      </c>
      <c r="R7" s="26"/>
      <c r="S7" s="26"/>
      <c r="T7" s="26"/>
    </row>
    <row r="8" spans="1:20" s="4" customFormat="1" ht="19.5" customHeight="1" x14ac:dyDescent="0.25">
      <c r="A8" s="27" t="s">
        <v>13</v>
      </c>
      <c r="B8" s="28">
        <v>1.0943217940086849</v>
      </c>
      <c r="C8" s="29">
        <v>8.2705550049401777E-2</v>
      </c>
      <c r="D8" s="30">
        <v>7.5576992528347098E-2</v>
      </c>
      <c r="E8" s="31">
        <v>714</v>
      </c>
      <c r="F8" s="28">
        <v>0.50731122004365703</v>
      </c>
      <c r="G8" s="29">
        <v>0.14509228174722646</v>
      </c>
      <c r="H8" s="30">
        <v>0.28600250894261797</v>
      </c>
      <c r="I8" s="31">
        <v>243</v>
      </c>
      <c r="J8" s="28">
        <v>0.22522993058121213</v>
      </c>
      <c r="K8" s="29">
        <v>8.1115168049108288E-2</v>
      </c>
      <c r="L8" s="30">
        <v>0.36014382209233176</v>
      </c>
      <c r="M8" s="31">
        <v>28</v>
      </c>
      <c r="N8" s="28">
        <v>0.91633535638875641</v>
      </c>
      <c r="O8" s="29">
        <v>0.16236998513713041</v>
      </c>
      <c r="P8" s="30">
        <v>0.17719493633534397</v>
      </c>
      <c r="Q8" s="31">
        <v>985</v>
      </c>
      <c r="R8" s="26"/>
      <c r="S8" s="26"/>
      <c r="T8" s="26"/>
    </row>
    <row r="9" spans="1:20" s="4" customFormat="1" ht="19.5" customHeight="1" x14ac:dyDescent="0.25">
      <c r="A9" s="27" t="s">
        <v>14</v>
      </c>
      <c r="B9" s="28">
        <v>1.3897680334965226</v>
      </c>
      <c r="C9" s="29">
        <v>0.16506380909529197</v>
      </c>
      <c r="D9" s="30">
        <v>0.11877076254229803</v>
      </c>
      <c r="E9" s="31">
        <v>325</v>
      </c>
      <c r="F9" s="28">
        <v>0.52805277107896342</v>
      </c>
      <c r="G9" s="29">
        <v>0.20175896421807735</v>
      </c>
      <c r="H9" s="30">
        <v>0.38208106323507374</v>
      </c>
      <c r="I9" s="31">
        <v>115</v>
      </c>
      <c r="J9" s="28">
        <v>0.51081986313072858</v>
      </c>
      <c r="K9" s="29">
        <v>0.1234344790126177</v>
      </c>
      <c r="L9" s="30">
        <v>0.24163993595728372</v>
      </c>
      <c r="M9" s="31">
        <v>15</v>
      </c>
      <c r="N9" s="28">
        <v>1.1344476226255293</v>
      </c>
      <c r="O9" s="29">
        <v>0.15244756870145965</v>
      </c>
      <c r="P9" s="30">
        <v>0.13438043825120799</v>
      </c>
      <c r="Q9" s="31">
        <v>455</v>
      </c>
      <c r="R9" s="26"/>
      <c r="S9" s="26"/>
      <c r="T9" s="26"/>
    </row>
    <row r="10" spans="1:20" s="4" customFormat="1" ht="19.5" customHeight="1" x14ac:dyDescent="0.25">
      <c r="A10" s="27" t="s">
        <v>15</v>
      </c>
      <c r="B10" s="28">
        <v>1.3463758313985785</v>
      </c>
      <c r="C10" s="29">
        <v>0.45660919896828034</v>
      </c>
      <c r="D10" s="30">
        <v>0.33913947972013664</v>
      </c>
      <c r="E10" s="31">
        <v>204</v>
      </c>
      <c r="F10" s="28">
        <v>0.54515660768242935</v>
      </c>
      <c r="G10" s="29">
        <v>6.6958374123253936E-2</v>
      </c>
      <c r="H10" s="30">
        <v>0.12282410811804609</v>
      </c>
      <c r="I10" s="31">
        <v>116</v>
      </c>
      <c r="J10" s="28">
        <v>0.27458207813354474</v>
      </c>
      <c r="K10" s="29">
        <v>2.4270541805792089E-2</v>
      </c>
      <c r="L10" s="30">
        <v>8.8390844627477677E-2</v>
      </c>
      <c r="M10" s="31">
        <v>9</v>
      </c>
      <c r="N10" s="28">
        <v>1.0714311615648042</v>
      </c>
      <c r="O10" s="29">
        <v>0.34960269835830721</v>
      </c>
      <c r="P10" s="30">
        <v>0.32629506299566585</v>
      </c>
      <c r="Q10" s="31">
        <v>329</v>
      </c>
      <c r="R10" s="26"/>
      <c r="S10" s="26"/>
      <c r="T10" s="26"/>
    </row>
    <row r="11" spans="1:20" s="4" customFormat="1" ht="19.5" customHeight="1" x14ac:dyDescent="0.25">
      <c r="A11" s="27" t="s">
        <v>16</v>
      </c>
      <c r="B11" s="28">
        <v>1.1983384117500355</v>
      </c>
      <c r="C11" s="29">
        <v>0.19802696825214292</v>
      </c>
      <c r="D11" s="30">
        <v>0.16525128987807983</v>
      </c>
      <c r="E11" s="31">
        <v>200</v>
      </c>
      <c r="F11" s="28">
        <v>0.47223097263525032</v>
      </c>
      <c r="G11" s="29">
        <v>0.25146315424101279</v>
      </c>
      <c r="H11" s="30">
        <v>0.53250034159712378</v>
      </c>
      <c r="I11" s="31">
        <v>93</v>
      </c>
      <c r="J11" s="28">
        <v>0.3182939815001532</v>
      </c>
      <c r="K11" s="29">
        <v>0.14190993889623443</v>
      </c>
      <c r="L11" s="30">
        <v>0.4458454986405897</v>
      </c>
      <c r="M11" s="31">
        <v>7</v>
      </c>
      <c r="N11" s="28">
        <v>1.0463169559133079</v>
      </c>
      <c r="O11" s="29">
        <v>0.20828404264344896</v>
      </c>
      <c r="P11" s="30">
        <v>0.19906400394863355</v>
      </c>
      <c r="Q11" s="31">
        <v>300</v>
      </c>
      <c r="R11" s="26"/>
      <c r="S11" s="26"/>
      <c r="T11" s="26"/>
    </row>
    <row r="12" spans="1:20" s="4" customFormat="1" ht="19.5" customHeight="1" x14ac:dyDescent="0.25">
      <c r="A12" s="27" t="s">
        <v>17</v>
      </c>
      <c r="B12" s="28">
        <v>1.0272624028911814</v>
      </c>
      <c r="C12" s="29">
        <v>0.13994540119883056</v>
      </c>
      <c r="D12" s="30">
        <v>0.13623140572940357</v>
      </c>
      <c r="E12" s="31">
        <v>446</v>
      </c>
      <c r="F12" s="28">
        <v>0.50603532167597831</v>
      </c>
      <c r="G12" s="29">
        <v>9.8437497091941703E-2</v>
      </c>
      <c r="H12" s="30">
        <v>0.19452692900155424</v>
      </c>
      <c r="I12" s="31">
        <v>458</v>
      </c>
      <c r="J12" s="28">
        <v>0.24391758768909161</v>
      </c>
      <c r="K12" s="29">
        <v>4.6068083958488493E-2</v>
      </c>
      <c r="L12" s="30">
        <v>0.18886741376439389</v>
      </c>
      <c r="M12" s="31">
        <v>60</v>
      </c>
      <c r="N12" s="28">
        <v>0.73850241387445525</v>
      </c>
      <c r="O12" s="29">
        <v>8.3390874762786726E-2</v>
      </c>
      <c r="P12" s="30">
        <v>0.11291889260765924</v>
      </c>
      <c r="Q12" s="31">
        <v>964</v>
      </c>
      <c r="R12" s="26"/>
      <c r="S12" s="26"/>
      <c r="T12" s="26"/>
    </row>
    <row r="13" spans="1:20" s="4" customFormat="1" ht="19.5" customHeight="1" x14ac:dyDescent="0.25">
      <c r="A13" s="27" t="s">
        <v>18</v>
      </c>
      <c r="B13" s="28">
        <v>0.55467178667741113</v>
      </c>
      <c r="C13" s="29">
        <v>8.2707169201025943E-2</v>
      </c>
      <c r="D13" s="30">
        <v>0.14911010653067019</v>
      </c>
      <c r="E13" s="31">
        <v>82</v>
      </c>
      <c r="F13" s="28">
        <v>0.40494264098155613</v>
      </c>
      <c r="G13" s="29">
        <v>9.0636024393385167E-2</v>
      </c>
      <c r="H13" s="30">
        <v>0.22382435244085186</v>
      </c>
      <c r="I13" s="31">
        <v>101</v>
      </c>
      <c r="J13" s="28">
        <v>0.25376330651246221</v>
      </c>
      <c r="K13" s="29">
        <v>6.3084651180567539E-2</v>
      </c>
      <c r="L13" s="30">
        <v>0.24859642651869954</v>
      </c>
      <c r="M13" s="31">
        <v>11</v>
      </c>
      <c r="N13" s="28">
        <v>0.46936624006102495</v>
      </c>
      <c r="O13" s="29">
        <v>7.4741572462365638E-2</v>
      </c>
      <c r="P13" s="30">
        <v>0.15923934463767156</v>
      </c>
      <c r="Q13" s="31">
        <v>194</v>
      </c>
      <c r="R13" s="26"/>
      <c r="S13" s="26"/>
      <c r="T13" s="26"/>
    </row>
    <row r="14" spans="1:20" s="4" customFormat="1" ht="19.5" customHeight="1" x14ac:dyDescent="0.25">
      <c r="A14" s="27" t="s">
        <v>19</v>
      </c>
      <c r="B14" s="32">
        <v>1.9777441063204222</v>
      </c>
      <c r="C14" s="33">
        <v>0.90970959914524974</v>
      </c>
      <c r="D14" s="30">
        <v>0.45997335865546202</v>
      </c>
      <c r="E14" s="31">
        <v>23</v>
      </c>
      <c r="F14" s="32">
        <v>0.47030463918894355</v>
      </c>
      <c r="G14" s="33">
        <v>0.11004986911704001</v>
      </c>
      <c r="H14" s="30">
        <v>0.23399698822198475</v>
      </c>
      <c r="I14" s="31">
        <v>24</v>
      </c>
      <c r="J14" s="32">
        <v>0.15790000000000001</v>
      </c>
      <c r="K14" s="33">
        <v>5.3824822130814354E-2</v>
      </c>
      <c r="L14" s="30">
        <v>0.34087917752257346</v>
      </c>
      <c r="M14" s="31">
        <v>1</v>
      </c>
      <c r="N14" s="32">
        <v>0.74715093879924355</v>
      </c>
      <c r="O14" s="33">
        <v>0.22670771526293929</v>
      </c>
      <c r="P14" s="30">
        <v>0.30342960637549937</v>
      </c>
      <c r="Q14" s="31">
        <v>48</v>
      </c>
      <c r="R14" s="26"/>
      <c r="S14" s="26"/>
      <c r="T14" s="26"/>
    </row>
    <row r="15" spans="1:20" s="4" customFormat="1" ht="19.5" customHeight="1" thickBot="1" x14ac:dyDescent="0.3">
      <c r="A15" s="27" t="s">
        <v>20</v>
      </c>
      <c r="B15" s="32">
        <v>1.7819327808133119</v>
      </c>
      <c r="C15" s="34">
        <v>0.94317078178276481</v>
      </c>
      <c r="D15" s="30">
        <v>0.52929649868850925</v>
      </c>
      <c r="E15" s="31">
        <v>13</v>
      </c>
      <c r="F15" s="32">
        <v>0.62522084456826221</v>
      </c>
      <c r="G15" s="34">
        <v>4.9678351723139523E-2</v>
      </c>
      <c r="H15" s="30">
        <v>7.9457286420839407E-2</v>
      </c>
      <c r="I15" s="31">
        <v>7</v>
      </c>
      <c r="J15" s="32">
        <v>0.15789999999999998</v>
      </c>
      <c r="K15" s="34">
        <v>2.0844825255020686E-2</v>
      </c>
      <c r="L15" s="30">
        <v>0.13201282618759144</v>
      </c>
      <c r="M15" s="31">
        <v>1</v>
      </c>
      <c r="N15" s="32">
        <v>1.2564500278133182</v>
      </c>
      <c r="O15" s="34">
        <v>0.61880147688197951</v>
      </c>
      <c r="P15" s="30">
        <v>0.49249987121168681</v>
      </c>
      <c r="Q15" s="31">
        <v>21</v>
      </c>
      <c r="R15" s="26"/>
      <c r="S15" s="26"/>
      <c r="T15" s="26"/>
    </row>
    <row r="16" spans="1:20" s="4" customFormat="1" ht="24.75" customHeight="1" thickTop="1" x14ac:dyDescent="0.25">
      <c r="A16" s="35" t="s">
        <v>4</v>
      </c>
      <c r="B16" s="36">
        <v>1.1064795939769705</v>
      </c>
      <c r="C16" s="37">
        <v>8.9324550671533984E-2</v>
      </c>
      <c r="D16" s="38">
        <v>8.0728601917075316E-2</v>
      </c>
      <c r="E16" s="39">
        <v>2724</v>
      </c>
      <c r="F16" s="36">
        <v>0.48133731160855436</v>
      </c>
      <c r="G16" s="37">
        <v>5.5535287015063925E-2</v>
      </c>
      <c r="H16" s="38">
        <v>0.11537706650970739</v>
      </c>
      <c r="I16" s="39">
        <v>1553</v>
      </c>
      <c r="J16" s="36">
        <v>0.24726871195889208</v>
      </c>
      <c r="K16" s="37">
        <v>2.8738548128519347E-2</v>
      </c>
      <c r="L16" s="38">
        <v>0.11622395692867553</v>
      </c>
      <c r="M16" s="39">
        <v>183</v>
      </c>
      <c r="N16" s="36">
        <v>0.84505340138603269</v>
      </c>
      <c r="O16" s="37">
        <v>6.1658845323423098E-2</v>
      </c>
      <c r="P16" s="38">
        <v>7.2964436593346643E-2</v>
      </c>
      <c r="Q16" s="39">
        <v>4460</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17" t="s">
        <v>108</v>
      </c>
      <c r="C18" s="18" t="s">
        <v>109</v>
      </c>
      <c r="D18" s="18" t="s">
        <v>8</v>
      </c>
      <c r="E18" s="19" t="s">
        <v>9</v>
      </c>
      <c r="F18" s="17" t="s">
        <v>108</v>
      </c>
      <c r="G18" s="18" t="s">
        <v>109</v>
      </c>
      <c r="H18" s="18" t="s">
        <v>8</v>
      </c>
      <c r="I18" s="19" t="s">
        <v>9</v>
      </c>
      <c r="J18" s="17" t="s">
        <v>108</v>
      </c>
      <c r="K18" s="18" t="s">
        <v>109</v>
      </c>
      <c r="L18" s="18" t="s">
        <v>8</v>
      </c>
      <c r="M18" s="20" t="s">
        <v>9</v>
      </c>
      <c r="N18" s="17" t="s">
        <v>108</v>
      </c>
      <c r="O18" s="18" t="s">
        <v>109</v>
      </c>
      <c r="P18" s="18" t="s">
        <v>8</v>
      </c>
      <c r="Q18" s="19" t="s">
        <v>9</v>
      </c>
    </row>
    <row r="19" spans="1:20" s="4" customFormat="1" ht="19.5" customHeight="1" x14ac:dyDescent="0.25">
      <c r="A19" s="50" t="s">
        <v>22</v>
      </c>
      <c r="B19" s="22">
        <v>1.1161390182393025</v>
      </c>
      <c r="C19" s="23">
        <v>0.10273562420432704</v>
      </c>
      <c r="D19" s="24">
        <v>9.2045544977355426E-2</v>
      </c>
      <c r="E19" s="25">
        <v>2242</v>
      </c>
      <c r="F19" s="22">
        <v>0.45846290495221736</v>
      </c>
      <c r="G19" s="23">
        <v>6.2175532509639808E-2</v>
      </c>
      <c r="H19" s="24">
        <v>0.13561736803137861</v>
      </c>
      <c r="I19" s="25">
        <v>1064</v>
      </c>
      <c r="J19" s="22">
        <v>0.24985765666316109</v>
      </c>
      <c r="K19" s="23">
        <v>3.5922895083107358E-2</v>
      </c>
      <c r="L19" s="24">
        <v>0.14377344109784815</v>
      </c>
      <c r="M19" s="25">
        <v>121</v>
      </c>
      <c r="N19" s="22">
        <v>0.90106653791884717</v>
      </c>
      <c r="O19" s="23">
        <v>8.0811899103796936E-2</v>
      </c>
      <c r="P19" s="24">
        <v>8.9684718833799484E-2</v>
      </c>
      <c r="Q19" s="25">
        <v>3427</v>
      </c>
      <c r="R19" s="26"/>
      <c r="S19" s="26"/>
      <c r="T19" s="26"/>
    </row>
    <row r="20" spans="1:20" s="4" customFormat="1" ht="19.5" customHeight="1" thickBot="1" x14ac:dyDescent="0.3">
      <c r="A20" s="51" t="s">
        <v>23</v>
      </c>
      <c r="B20" s="28">
        <v>1.0759208214861435</v>
      </c>
      <c r="C20" s="29">
        <v>0.14137611861758753</v>
      </c>
      <c r="D20" s="30">
        <v>0.1314001140179703</v>
      </c>
      <c r="E20" s="31">
        <v>482</v>
      </c>
      <c r="F20" s="28">
        <v>0.50231989751200223</v>
      </c>
      <c r="G20" s="29">
        <v>8.6774324702998021E-2</v>
      </c>
      <c r="H20" s="30">
        <v>0.17274713809425529</v>
      </c>
      <c r="I20" s="31">
        <v>489</v>
      </c>
      <c r="J20" s="28">
        <v>0.24172636844312656</v>
      </c>
      <c r="K20" s="29">
        <v>4.4332233229781123E-2</v>
      </c>
      <c r="L20" s="30">
        <v>0.18339841662831097</v>
      </c>
      <c r="M20" s="31">
        <v>62</v>
      </c>
      <c r="N20" s="28">
        <v>0.75284754693421252</v>
      </c>
      <c r="O20" s="29">
        <v>8.0426732283615951E-2</v>
      </c>
      <c r="P20" s="30">
        <v>0.10683003831404399</v>
      </c>
      <c r="Q20" s="31">
        <v>1033</v>
      </c>
      <c r="R20" s="26"/>
      <c r="S20" s="26"/>
      <c r="T20" s="26"/>
    </row>
    <row r="21" spans="1:20" s="4" customFormat="1" ht="24.75" customHeight="1" thickTop="1" x14ac:dyDescent="0.25">
      <c r="A21" s="35" t="s">
        <v>4</v>
      </c>
      <c r="B21" s="36">
        <v>1.1064795939769705</v>
      </c>
      <c r="C21" s="37">
        <v>8.9324550671533984E-2</v>
      </c>
      <c r="D21" s="38">
        <v>8.0728601917075316E-2</v>
      </c>
      <c r="E21" s="39">
        <v>2724</v>
      </c>
      <c r="F21" s="36">
        <v>0.48133731160855436</v>
      </c>
      <c r="G21" s="37">
        <v>5.5535287015063925E-2</v>
      </c>
      <c r="H21" s="38">
        <v>0.11537706650970739</v>
      </c>
      <c r="I21" s="39">
        <v>1553</v>
      </c>
      <c r="J21" s="36">
        <v>0.24726871195889208</v>
      </c>
      <c r="K21" s="37">
        <v>2.8738548128519347E-2</v>
      </c>
      <c r="L21" s="38">
        <v>0.11622395692867553</v>
      </c>
      <c r="M21" s="39">
        <v>183</v>
      </c>
      <c r="N21" s="36">
        <v>0.84505340138603269</v>
      </c>
      <c r="O21" s="37">
        <v>6.1658845323423098E-2</v>
      </c>
      <c r="P21" s="38">
        <v>7.2964436593346643E-2</v>
      </c>
      <c r="Q21" s="39">
        <v>4460</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71</v>
      </c>
      <c r="B23" s="44" t="s">
        <v>26</v>
      </c>
      <c r="C23" s="4" t="s">
        <v>110</v>
      </c>
    </row>
    <row r="24" spans="1:20" s="4" customFormat="1" x14ac:dyDescent="0.25">
      <c r="A24" s="40"/>
      <c r="B24" s="45" t="s">
        <v>26</v>
      </c>
      <c r="C24" s="4" t="s">
        <v>29</v>
      </c>
    </row>
    <row r="25" spans="1:20" x14ac:dyDescent="0.25">
      <c r="A25" s="154" t="s">
        <v>240</v>
      </c>
    </row>
  </sheetData>
  <mergeCells count="2">
    <mergeCell ref="N2:Q2"/>
    <mergeCell ref="N3:Q3"/>
  </mergeCells>
  <conditionalFormatting sqref="M5:M15">
    <cfRule type="expression" dxfId="469" priority="32">
      <formula>M5&lt;=1</formula>
    </cfRule>
  </conditionalFormatting>
  <conditionalFormatting sqref="I5:I15">
    <cfRule type="expression" dxfId="468" priority="31">
      <formula>I5&lt;=1</formula>
    </cfRule>
  </conditionalFormatting>
  <conditionalFormatting sqref="E5:E15">
    <cfRule type="expression" dxfId="467" priority="30">
      <formula>E5&lt;=1</formula>
    </cfRule>
  </conditionalFormatting>
  <conditionalFormatting sqref="D5:D15 D19:D20 H19:H20 L19:L20 P19:P20">
    <cfRule type="expression" dxfId="466" priority="26">
      <formula>OR(D5&gt;=0.5,E5&lt;=5)</formula>
    </cfRule>
    <cfRule type="expression" dxfId="465" priority="29">
      <formula>E5&lt;=1</formula>
    </cfRule>
  </conditionalFormatting>
  <conditionalFormatting sqref="Q5:Q15">
    <cfRule type="expression" dxfId="464" priority="23">
      <formula>Q5&lt;=1</formula>
    </cfRule>
  </conditionalFormatting>
  <conditionalFormatting sqref="B5:B16 B19:B21 F19:F21 J19:J21 N19:N21">
    <cfRule type="expression" dxfId="463" priority="24">
      <formula>OR(D5&gt;=0.5,E5&lt;=5)</formula>
    </cfRule>
    <cfRule type="expression" dxfId="462" priority="27">
      <formula>E5&lt;=1</formula>
    </cfRule>
  </conditionalFormatting>
  <conditionalFormatting sqref="C5:C16 C19:C21 G19:G21 K19:K21 O19:O21">
    <cfRule type="expression" dxfId="461" priority="25">
      <formula>OR(D5&gt;=0.5,E5&lt;=5)</formula>
    </cfRule>
    <cfRule type="expression" dxfId="460" priority="28">
      <formula>E5&lt;=1</formula>
    </cfRule>
  </conditionalFormatting>
  <conditionalFormatting sqref="F5:F16">
    <cfRule type="expression" dxfId="459" priority="21">
      <formula>OR(H5&gt;=0.5,I5&lt;=5)</formula>
    </cfRule>
    <cfRule type="expression" dxfId="458" priority="22">
      <formula>I5&lt;=1</formula>
    </cfRule>
  </conditionalFormatting>
  <conditionalFormatting sqref="J5:J16">
    <cfRule type="expression" dxfId="457" priority="19">
      <formula>OR(L5&gt;=0.5,M5&lt;=5)</formula>
    </cfRule>
    <cfRule type="expression" dxfId="456" priority="20">
      <formula>M5&lt;=1</formula>
    </cfRule>
  </conditionalFormatting>
  <conditionalFormatting sqref="N5:N16">
    <cfRule type="expression" dxfId="455" priority="17">
      <formula>OR(P5&gt;=0.5,Q5&lt;=5)</formula>
    </cfRule>
    <cfRule type="expression" dxfId="454" priority="18">
      <formula>Q5&lt;=1</formula>
    </cfRule>
  </conditionalFormatting>
  <conditionalFormatting sqref="H5:H15">
    <cfRule type="expression" dxfId="453" priority="14">
      <formula>OR(H5&gt;=0.5,I5&lt;=5)</formula>
    </cfRule>
    <cfRule type="expression" dxfId="452" priority="16">
      <formula>I5&lt;=1</formula>
    </cfRule>
  </conditionalFormatting>
  <conditionalFormatting sqref="G5:G16">
    <cfRule type="expression" dxfId="451" priority="13">
      <formula>OR(H5&gt;=0.5,I5&lt;=5)</formula>
    </cfRule>
    <cfRule type="expression" dxfId="450" priority="15">
      <formula>I5&lt;=1</formula>
    </cfRule>
  </conditionalFormatting>
  <conditionalFormatting sqref="L5:L15">
    <cfRule type="expression" dxfId="449" priority="10">
      <formula>OR(L5&gt;=0.5,M5&lt;=5)</formula>
    </cfRule>
    <cfRule type="expression" dxfId="448" priority="12">
      <formula>M5&lt;=1</formula>
    </cfRule>
  </conditionalFormatting>
  <conditionalFormatting sqref="K5:K16">
    <cfRule type="expression" dxfId="447" priority="9">
      <formula>OR(L5&gt;=0.5,M5&lt;=5)</formula>
    </cfRule>
    <cfRule type="expression" dxfId="446" priority="11">
      <formula>M5&lt;=1</formula>
    </cfRule>
  </conditionalFormatting>
  <conditionalFormatting sqref="P5:P15">
    <cfRule type="expression" dxfId="445" priority="6">
      <formula>OR(P5&gt;=0.5,Q5&lt;=5)</formula>
    </cfRule>
    <cfRule type="expression" dxfId="444" priority="8">
      <formula>Q5&lt;=1</formula>
    </cfRule>
  </conditionalFormatting>
  <conditionalFormatting sqref="O5:O16">
    <cfRule type="expression" dxfId="443" priority="5">
      <formula>OR(P5&gt;=0.5,Q5&lt;=5)</formula>
    </cfRule>
    <cfRule type="expression" dxfId="442" priority="7">
      <formula>Q5&lt;=1</formula>
    </cfRule>
  </conditionalFormatting>
  <conditionalFormatting sqref="M19:M20">
    <cfRule type="expression" dxfId="441" priority="4">
      <formula>M19&lt;=1</formula>
    </cfRule>
  </conditionalFormatting>
  <conditionalFormatting sqref="I19:I20">
    <cfRule type="expression" dxfId="440" priority="3">
      <formula>I19&lt;=1</formula>
    </cfRule>
  </conditionalFormatting>
  <conditionalFormatting sqref="E19:E20">
    <cfRule type="expression" dxfId="439" priority="2">
      <formula>E19&lt;=1</formula>
    </cfRule>
  </conditionalFormatting>
  <conditionalFormatting sqref="Q19:Q20">
    <cfRule type="expression" dxfId="438" priority="1">
      <formula>Q19&lt;=1</formula>
    </cfRule>
  </conditionalFormatting>
  <hyperlinks>
    <hyperlink ref="A25" location="Überblick!A1" display="zurück zur Übersicht" xr:uid="{A9FC332A-793A-4DEF-887D-B56F0265CFBA}"/>
  </hyperlinks>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D0841-738C-4FBC-9B23-1B2AD1190B47}">
  <dimension ref="A1:T25"/>
  <sheetViews>
    <sheetView workbookViewId="0">
      <selection activeCell="A25" sqref="A25"/>
    </sheetView>
  </sheetViews>
  <sheetFormatPr baseColWidth="10" defaultRowHeight="15" x14ac:dyDescent="0.25"/>
  <cols>
    <col min="1" max="1" width="64.140625" customWidth="1"/>
  </cols>
  <sheetData>
    <row r="1" spans="1:20" s="4" customFormat="1" ht="36.75" customHeight="1" x14ac:dyDescent="0.25">
      <c r="A1" s="1" t="s">
        <v>111</v>
      </c>
      <c r="B1" s="2"/>
      <c r="C1" s="2"/>
      <c r="D1" s="2"/>
      <c r="E1" s="2"/>
      <c r="F1" s="2"/>
      <c r="G1" s="2"/>
      <c r="H1" s="2"/>
      <c r="I1" s="2"/>
      <c r="J1" s="2"/>
      <c r="K1" s="2"/>
      <c r="L1" s="2"/>
      <c r="M1" s="2"/>
      <c r="N1" s="2"/>
      <c r="O1" s="2"/>
      <c r="P1" s="2"/>
      <c r="Q1" s="3"/>
    </row>
    <row r="2" spans="1:20" s="4" customFormat="1" ht="36.75" customHeight="1" x14ac:dyDescent="0.25">
      <c r="A2" s="52" t="s">
        <v>112</v>
      </c>
      <c r="B2" s="6" t="s">
        <v>0</v>
      </c>
      <c r="C2" s="7"/>
      <c r="D2" s="7"/>
      <c r="E2" s="7"/>
      <c r="F2" s="7"/>
      <c r="G2" s="7"/>
      <c r="H2" s="7"/>
      <c r="I2" s="7"/>
      <c r="J2" s="7"/>
      <c r="K2" s="7"/>
      <c r="L2" s="7"/>
      <c r="M2" s="8"/>
      <c r="N2" s="170"/>
      <c r="O2" s="171"/>
      <c r="P2" s="171"/>
      <c r="Q2" s="172"/>
    </row>
    <row r="3" spans="1:20" s="4" customFormat="1" ht="50.25" customHeight="1" x14ac:dyDescent="0.25">
      <c r="A3" s="52" t="s">
        <v>113</v>
      </c>
      <c r="B3" s="11" t="s">
        <v>1</v>
      </c>
      <c r="C3" s="12"/>
      <c r="D3" s="12"/>
      <c r="E3" s="13"/>
      <c r="F3" s="11" t="s">
        <v>33</v>
      </c>
      <c r="G3" s="12"/>
      <c r="H3" s="12"/>
      <c r="I3" s="13"/>
      <c r="J3" s="11" t="s">
        <v>3</v>
      </c>
      <c r="K3" s="12"/>
      <c r="L3" s="12"/>
      <c r="M3" s="14"/>
      <c r="N3" s="170" t="s">
        <v>4</v>
      </c>
      <c r="O3" s="171"/>
      <c r="P3" s="171"/>
      <c r="Q3" s="172"/>
    </row>
    <row r="4" spans="1:20" s="4" customFormat="1" ht="50.25" customHeight="1" x14ac:dyDescent="0.25">
      <c r="A4" s="5" t="s">
        <v>5</v>
      </c>
      <c r="B4" s="17" t="s">
        <v>114</v>
      </c>
      <c r="C4" s="18" t="s">
        <v>109</v>
      </c>
      <c r="D4" s="18" t="s">
        <v>8</v>
      </c>
      <c r="E4" s="19" t="s">
        <v>9</v>
      </c>
      <c r="F4" s="17" t="s">
        <v>114</v>
      </c>
      <c r="G4" s="18" t="s">
        <v>109</v>
      </c>
      <c r="H4" s="18" t="s">
        <v>8</v>
      </c>
      <c r="I4" s="19" t="s">
        <v>9</v>
      </c>
      <c r="J4" s="17" t="s">
        <v>114</v>
      </c>
      <c r="K4" s="18" t="s">
        <v>109</v>
      </c>
      <c r="L4" s="18" t="s">
        <v>8</v>
      </c>
      <c r="M4" s="20" t="s">
        <v>9</v>
      </c>
      <c r="N4" s="17" t="s">
        <v>114</v>
      </c>
      <c r="O4" s="18" t="s">
        <v>109</v>
      </c>
      <c r="P4" s="18" t="s">
        <v>8</v>
      </c>
      <c r="Q4" s="19" t="s">
        <v>9</v>
      </c>
    </row>
    <row r="5" spans="1:20" s="4" customFormat="1" ht="19.5" customHeight="1" x14ac:dyDescent="0.25">
      <c r="A5" s="21" t="s">
        <v>10</v>
      </c>
      <c r="B5" s="22">
        <v>2.6752679762623597</v>
      </c>
      <c r="C5" s="23">
        <v>0.49817754691032556</v>
      </c>
      <c r="D5" s="24">
        <v>0.18621594222734045</v>
      </c>
      <c r="E5" s="25">
        <v>573</v>
      </c>
      <c r="F5" s="22">
        <v>1.8850338282140253</v>
      </c>
      <c r="G5" s="23">
        <v>0.47962824683646721</v>
      </c>
      <c r="H5" s="24">
        <v>0.2544401270988812</v>
      </c>
      <c r="I5" s="25">
        <v>333</v>
      </c>
      <c r="J5" s="22">
        <v>1.0779927578595792</v>
      </c>
      <c r="K5" s="23">
        <v>0.45338874500388249</v>
      </c>
      <c r="L5" s="24">
        <v>0.42058607694555733</v>
      </c>
      <c r="M5" s="25">
        <v>30</v>
      </c>
      <c r="N5" s="22">
        <v>2.3330958276962876</v>
      </c>
      <c r="O5" s="23">
        <v>0.36227465808802972</v>
      </c>
      <c r="P5" s="24">
        <v>0.15527637304368325</v>
      </c>
      <c r="Q5" s="25">
        <v>936</v>
      </c>
      <c r="R5" s="26"/>
      <c r="S5" s="26"/>
      <c r="T5" s="26"/>
    </row>
    <row r="6" spans="1:20" s="4" customFormat="1" ht="19.5" customHeight="1" x14ac:dyDescent="0.25">
      <c r="A6" s="27" t="s">
        <v>11</v>
      </c>
      <c r="B6" s="28">
        <v>3.1026074188360719</v>
      </c>
      <c r="C6" s="29">
        <v>1.4125558540890766</v>
      </c>
      <c r="D6" s="30" t="s">
        <v>116</v>
      </c>
      <c r="E6" s="31">
        <v>57</v>
      </c>
      <c r="F6" s="28">
        <v>1.7418123141483415</v>
      </c>
      <c r="G6" s="29">
        <v>0.97432813733176693</v>
      </c>
      <c r="H6" s="30">
        <v>0.55937607595119354</v>
      </c>
      <c r="I6" s="31">
        <v>49</v>
      </c>
      <c r="J6" s="28">
        <v>1.2427262090544684</v>
      </c>
      <c r="K6" s="29">
        <v>0.72613772266393395</v>
      </c>
      <c r="L6" s="30">
        <v>0.58431029890036501</v>
      </c>
      <c r="M6" s="31">
        <v>16</v>
      </c>
      <c r="N6" s="28">
        <v>2.4950607786470105</v>
      </c>
      <c r="O6" s="29">
        <v>0.84201877760884969</v>
      </c>
      <c r="P6" s="30">
        <v>0.3374742550622149</v>
      </c>
      <c r="Q6" s="31">
        <v>122</v>
      </c>
      <c r="R6" s="26"/>
      <c r="S6" s="26"/>
      <c r="T6" s="26"/>
    </row>
    <row r="7" spans="1:20" s="4" customFormat="1" ht="19.5" customHeight="1" x14ac:dyDescent="0.25">
      <c r="A7" s="27" t="s">
        <v>12</v>
      </c>
      <c r="B7" s="28">
        <v>2.7218070819116327</v>
      </c>
      <c r="C7" s="29">
        <v>0.63984306571432048</v>
      </c>
      <c r="D7" s="30">
        <v>0.23508024134647096</v>
      </c>
      <c r="E7" s="31">
        <v>103</v>
      </c>
      <c r="F7" s="28">
        <v>2.2449209707232343</v>
      </c>
      <c r="G7" s="29">
        <v>0.64485216963188774</v>
      </c>
      <c r="H7" s="30">
        <v>0.28724938563166397</v>
      </c>
      <c r="I7" s="31">
        <v>68</v>
      </c>
      <c r="J7" s="28">
        <v>1.2549743127332169</v>
      </c>
      <c r="K7" s="29">
        <v>0.82580760238575579</v>
      </c>
      <c r="L7" s="30">
        <v>0.65802749427374641</v>
      </c>
      <c r="M7" s="31">
        <v>11</v>
      </c>
      <c r="N7" s="28">
        <v>2.3613355806648677</v>
      </c>
      <c r="O7" s="29">
        <v>0.45739896286456022</v>
      </c>
      <c r="P7" s="30">
        <v>0.19370349839719647</v>
      </c>
      <c r="Q7" s="31">
        <v>182</v>
      </c>
      <c r="R7" s="26"/>
      <c r="S7" s="26"/>
      <c r="T7" s="26"/>
    </row>
    <row r="8" spans="1:20" s="4" customFormat="1" ht="19.5" customHeight="1" x14ac:dyDescent="0.25">
      <c r="A8" s="27" t="s">
        <v>13</v>
      </c>
      <c r="B8" s="28">
        <v>2.2210412248827649</v>
      </c>
      <c r="C8" s="29">
        <v>0.22127305256908</v>
      </c>
      <c r="D8" s="30">
        <v>9.9625819678677799E-2</v>
      </c>
      <c r="E8" s="31">
        <v>725</v>
      </c>
      <c r="F8" s="28">
        <v>2.0475801084862342</v>
      </c>
      <c r="G8" s="29">
        <v>0.68133487931183523</v>
      </c>
      <c r="H8" s="30">
        <v>0.33275126891887163</v>
      </c>
      <c r="I8" s="31">
        <v>279</v>
      </c>
      <c r="J8" s="28">
        <v>1.1719856533896158</v>
      </c>
      <c r="K8" s="29">
        <v>0.55405696104772162</v>
      </c>
      <c r="L8" s="30">
        <v>0.4727506343147449</v>
      </c>
      <c r="M8" s="31">
        <v>33</v>
      </c>
      <c r="N8" s="28">
        <v>2.1291151584924957</v>
      </c>
      <c r="O8" s="29">
        <v>0.3585686784101409</v>
      </c>
      <c r="P8" s="30">
        <v>0.16841206403510028</v>
      </c>
      <c r="Q8" s="31">
        <v>1037</v>
      </c>
      <c r="R8" s="26"/>
      <c r="S8" s="26"/>
      <c r="T8" s="26"/>
    </row>
    <row r="9" spans="1:20" s="4" customFormat="1" ht="19.5" customHeight="1" x14ac:dyDescent="0.25">
      <c r="A9" s="27" t="s">
        <v>14</v>
      </c>
      <c r="B9" s="28">
        <v>2.5632637022492113</v>
      </c>
      <c r="C9" s="29">
        <v>0.44200207616959331</v>
      </c>
      <c r="D9" s="30">
        <v>0.17243722359964195</v>
      </c>
      <c r="E9" s="31">
        <v>315</v>
      </c>
      <c r="F9" s="28">
        <v>2.0359031161351213</v>
      </c>
      <c r="G9" s="29">
        <v>0.63124931234684556</v>
      </c>
      <c r="H9" s="30">
        <v>0.31005862083711749</v>
      </c>
      <c r="I9" s="31">
        <v>120</v>
      </c>
      <c r="J9" s="28">
        <v>0.96416432582181422</v>
      </c>
      <c r="K9" s="29">
        <v>0.16547024817076855</v>
      </c>
      <c r="L9" s="30">
        <v>0.17162038019787601</v>
      </c>
      <c r="M9" s="31">
        <v>18</v>
      </c>
      <c r="N9" s="28">
        <v>2.3343186955058668</v>
      </c>
      <c r="O9" s="29">
        <v>0.36897390872939401</v>
      </c>
      <c r="P9" s="30">
        <v>0.15806492465649991</v>
      </c>
      <c r="Q9" s="31">
        <v>453</v>
      </c>
      <c r="R9" s="26"/>
      <c r="S9" s="26"/>
      <c r="T9" s="26"/>
    </row>
    <row r="10" spans="1:20" s="4" customFormat="1" ht="19.5" customHeight="1" x14ac:dyDescent="0.25">
      <c r="A10" s="27" t="s">
        <v>15</v>
      </c>
      <c r="B10" s="28">
        <v>3.0935350949400013</v>
      </c>
      <c r="C10" s="29">
        <v>1.8956968138967261</v>
      </c>
      <c r="D10" s="30">
        <v>0.61279305251699201</v>
      </c>
      <c r="E10" s="31">
        <v>203</v>
      </c>
      <c r="F10" s="28">
        <v>2.5558126242229116</v>
      </c>
      <c r="G10" s="29">
        <v>0.51333780806838414</v>
      </c>
      <c r="H10" s="30">
        <v>0.20085111216807736</v>
      </c>
      <c r="I10" s="31">
        <v>126</v>
      </c>
      <c r="J10" s="28">
        <v>1.0660904860365832</v>
      </c>
      <c r="K10" s="29">
        <v>0.48736019343329928</v>
      </c>
      <c r="L10" s="30">
        <v>0.45714711820116122</v>
      </c>
      <c r="M10" s="31">
        <v>11</v>
      </c>
      <c r="N10" s="28">
        <v>3.0072357614009828</v>
      </c>
      <c r="O10" s="29">
        <v>1.8308286152460258</v>
      </c>
      <c r="P10" s="30">
        <v>0.60880780906685428</v>
      </c>
      <c r="Q10" s="31">
        <v>340</v>
      </c>
      <c r="R10" s="26"/>
      <c r="S10" s="26"/>
      <c r="T10" s="26"/>
    </row>
    <row r="11" spans="1:20" s="4" customFormat="1" ht="19.5" customHeight="1" x14ac:dyDescent="0.25">
      <c r="A11" s="27" t="s">
        <v>16</v>
      </c>
      <c r="B11" s="28">
        <v>2.7579842131561203</v>
      </c>
      <c r="C11" s="29">
        <v>0.59112381067734088</v>
      </c>
      <c r="D11" s="30">
        <v>0.21433183259627286</v>
      </c>
      <c r="E11" s="31">
        <v>213</v>
      </c>
      <c r="F11" s="28">
        <v>2.0747854352064596</v>
      </c>
      <c r="G11" s="29">
        <v>0.91532707908336175</v>
      </c>
      <c r="H11" s="30">
        <v>0.44116710265622167</v>
      </c>
      <c r="I11" s="31">
        <v>109</v>
      </c>
      <c r="J11" s="28">
        <v>1.2440247091209362</v>
      </c>
      <c r="K11" s="29">
        <v>0.75100425861042652</v>
      </c>
      <c r="L11" s="30">
        <v>0.60368918165709728</v>
      </c>
      <c r="M11" s="31">
        <v>11</v>
      </c>
      <c r="N11" s="28">
        <v>2.5715450474889425</v>
      </c>
      <c r="O11" s="29">
        <v>0.51895417241054664</v>
      </c>
      <c r="P11" s="30">
        <v>0.20180637042205193</v>
      </c>
      <c r="Q11" s="31">
        <v>333</v>
      </c>
      <c r="R11" s="26"/>
      <c r="S11" s="26"/>
      <c r="T11" s="26"/>
    </row>
    <row r="12" spans="1:20" s="4" customFormat="1" ht="19.5" customHeight="1" x14ac:dyDescent="0.25">
      <c r="A12" s="27" t="s">
        <v>17</v>
      </c>
      <c r="B12" s="28">
        <v>2.9856329604108227</v>
      </c>
      <c r="C12" s="29">
        <v>0.55277233340170639</v>
      </c>
      <c r="D12" s="30">
        <v>0.18514410201501963</v>
      </c>
      <c r="E12" s="31">
        <v>436</v>
      </c>
      <c r="F12" s="28">
        <v>2.1697021407841577</v>
      </c>
      <c r="G12" s="29">
        <v>0.38543573917958263</v>
      </c>
      <c r="H12" s="30">
        <v>0.17764454020415968</v>
      </c>
      <c r="I12" s="31">
        <v>477</v>
      </c>
      <c r="J12" s="28">
        <v>1.2020968319958736</v>
      </c>
      <c r="K12" s="29">
        <v>0.30801649213085325</v>
      </c>
      <c r="L12" s="30">
        <v>0.25623267937529226</v>
      </c>
      <c r="M12" s="31">
        <v>61</v>
      </c>
      <c r="N12" s="28">
        <v>2.5728261070598775</v>
      </c>
      <c r="O12" s="29">
        <v>0.34278849953997792</v>
      </c>
      <c r="P12" s="30">
        <v>0.1332342277619776</v>
      </c>
      <c r="Q12" s="31">
        <v>974</v>
      </c>
      <c r="R12" s="26"/>
      <c r="S12" s="26"/>
      <c r="T12" s="26"/>
    </row>
    <row r="13" spans="1:20" s="4" customFormat="1" ht="19.5" customHeight="1" x14ac:dyDescent="0.25">
      <c r="A13" s="27" t="s">
        <v>18</v>
      </c>
      <c r="B13" s="28">
        <v>3.0288713145702264</v>
      </c>
      <c r="C13" s="29">
        <v>0.95951953720017058</v>
      </c>
      <c r="D13" s="30">
        <v>0.31679112037030172</v>
      </c>
      <c r="E13" s="31">
        <v>85</v>
      </c>
      <c r="F13" s="28">
        <v>2.0994287903869844</v>
      </c>
      <c r="G13" s="29">
        <v>0.48093223704980653</v>
      </c>
      <c r="H13" s="30">
        <v>0.22907766114856273</v>
      </c>
      <c r="I13" s="31">
        <v>112</v>
      </c>
      <c r="J13" s="28">
        <v>1.046549304546885</v>
      </c>
      <c r="K13" s="29">
        <v>0.36922386450072681</v>
      </c>
      <c r="L13" s="30">
        <v>0.35280121337483122</v>
      </c>
      <c r="M13" s="31">
        <v>10</v>
      </c>
      <c r="N13" s="28">
        <v>2.4953136262302529</v>
      </c>
      <c r="O13" s="29">
        <v>0.49498285761655136</v>
      </c>
      <c r="P13" s="30">
        <v>0.1983649880373303</v>
      </c>
      <c r="Q13" s="31">
        <v>207</v>
      </c>
      <c r="R13" s="26"/>
      <c r="S13" s="26"/>
      <c r="T13" s="26"/>
    </row>
    <row r="14" spans="1:20" s="4" customFormat="1" ht="19.5" customHeight="1" x14ac:dyDescent="0.25">
      <c r="A14" s="27" t="s">
        <v>19</v>
      </c>
      <c r="B14" s="32">
        <v>4.1952156358934811</v>
      </c>
      <c r="C14" s="33">
        <v>1.3916825436193769</v>
      </c>
      <c r="D14" s="30">
        <v>0.33173087259505829</v>
      </c>
      <c r="E14" s="31">
        <v>22</v>
      </c>
      <c r="F14" s="32">
        <v>2.0173575164829947</v>
      </c>
      <c r="G14" s="33">
        <v>0.43627070911139088</v>
      </c>
      <c r="H14" s="30">
        <v>0.21625849932240726</v>
      </c>
      <c r="I14" s="31">
        <v>23</v>
      </c>
      <c r="J14" s="32">
        <v>1.2999995560577351</v>
      </c>
      <c r="K14" s="33">
        <v>0.44314278091362796</v>
      </c>
      <c r="L14" s="30">
        <v>0.34087917864946354</v>
      </c>
      <c r="M14" s="31">
        <v>1</v>
      </c>
      <c r="N14" s="32">
        <v>2.5185590563438942</v>
      </c>
      <c r="O14" s="33">
        <v>0.80974002181145743</v>
      </c>
      <c r="P14" s="30">
        <v>0.32150924544407122</v>
      </c>
      <c r="Q14" s="31">
        <v>46</v>
      </c>
      <c r="R14" s="26"/>
      <c r="S14" s="26"/>
      <c r="T14" s="26"/>
    </row>
    <row r="15" spans="1:20" s="4" customFormat="1" ht="19.5" customHeight="1" thickBot="1" x14ac:dyDescent="0.3">
      <c r="A15" s="27" t="s">
        <v>20</v>
      </c>
      <c r="B15" s="32">
        <v>5.0013879618482067</v>
      </c>
      <c r="C15" s="34">
        <v>3.4422627987716976</v>
      </c>
      <c r="D15" s="30">
        <v>0.68826150361261884</v>
      </c>
      <c r="E15" s="31">
        <v>11</v>
      </c>
      <c r="F15" s="32">
        <v>8.3586031273589789</v>
      </c>
      <c r="G15" s="34">
        <v>1.6762486199866298</v>
      </c>
      <c r="H15" s="30">
        <v>0.2005417166535893</v>
      </c>
      <c r="I15" s="31">
        <v>8</v>
      </c>
      <c r="J15" s="32">
        <v>1.2999970688704512</v>
      </c>
      <c r="K15" s="34">
        <v>0.17161633325248049</v>
      </c>
      <c r="L15" s="30">
        <v>0.13201286169175402</v>
      </c>
      <c r="M15" s="31">
        <v>1</v>
      </c>
      <c r="N15" s="32">
        <v>6.1054784809478386</v>
      </c>
      <c r="O15" s="34">
        <v>4.0037572943634068</v>
      </c>
      <c r="P15" s="30">
        <v>0.65576470490513428</v>
      </c>
      <c r="Q15" s="31">
        <v>20</v>
      </c>
      <c r="R15" s="26"/>
      <c r="S15" s="26"/>
      <c r="T15" s="26"/>
    </row>
    <row r="16" spans="1:20" s="4" customFormat="1" ht="24.75" customHeight="1" thickTop="1" x14ac:dyDescent="0.25">
      <c r="A16" s="35" t="s">
        <v>4</v>
      </c>
      <c r="B16" s="36">
        <v>2.8017584398157589</v>
      </c>
      <c r="C16" s="37">
        <v>0.40036771639394658</v>
      </c>
      <c r="D16" s="38">
        <v>0.14289872770768719</v>
      </c>
      <c r="E16" s="39">
        <v>2743</v>
      </c>
      <c r="F16" s="36">
        <v>2.0991271044085158</v>
      </c>
      <c r="G16" s="37">
        <v>0.22871390526819618</v>
      </c>
      <c r="H16" s="38">
        <v>0.1089566728893448</v>
      </c>
      <c r="I16" s="39">
        <v>1704</v>
      </c>
      <c r="J16" s="36">
        <v>1.1484141159518677</v>
      </c>
      <c r="K16" s="37">
        <v>0.22273445495005506</v>
      </c>
      <c r="L16" s="38">
        <v>0.19394959697568739</v>
      </c>
      <c r="M16" s="39">
        <v>203</v>
      </c>
      <c r="N16" s="36">
        <v>2.5081167494423395</v>
      </c>
      <c r="O16" s="37">
        <v>0.27059761660914083</v>
      </c>
      <c r="P16" s="38">
        <v>0.10788876421693931</v>
      </c>
      <c r="Q16" s="39">
        <v>4650</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17" t="s">
        <v>114</v>
      </c>
      <c r="C18" s="18" t="s">
        <v>109</v>
      </c>
      <c r="D18" s="18" t="s">
        <v>8</v>
      </c>
      <c r="E18" s="19" t="s">
        <v>9</v>
      </c>
      <c r="F18" s="17" t="s">
        <v>114</v>
      </c>
      <c r="G18" s="18" t="s">
        <v>109</v>
      </c>
      <c r="H18" s="18" t="s">
        <v>8</v>
      </c>
      <c r="I18" s="19" t="s">
        <v>9</v>
      </c>
      <c r="J18" s="17" t="s">
        <v>114</v>
      </c>
      <c r="K18" s="18" t="s">
        <v>109</v>
      </c>
      <c r="L18" s="18" t="s">
        <v>8</v>
      </c>
      <c r="M18" s="20" t="s">
        <v>9</v>
      </c>
      <c r="N18" s="17" t="s">
        <v>114</v>
      </c>
      <c r="O18" s="18" t="s">
        <v>109</v>
      </c>
      <c r="P18" s="18" t="s">
        <v>8</v>
      </c>
      <c r="Q18" s="19" t="s">
        <v>9</v>
      </c>
    </row>
    <row r="19" spans="1:20" s="4" customFormat="1" ht="19.5" customHeight="1" x14ac:dyDescent="0.25">
      <c r="A19" s="50" t="s">
        <v>22</v>
      </c>
      <c r="B19" s="22">
        <v>2.698189806399895</v>
      </c>
      <c r="C19" s="23">
        <v>0.47403934381564861</v>
      </c>
      <c r="D19" s="24">
        <v>0.17568791590986832</v>
      </c>
      <c r="E19" s="25">
        <v>2274</v>
      </c>
      <c r="F19" s="22">
        <v>2.043134933328921</v>
      </c>
      <c r="G19" s="23">
        <v>0.27433135217195487</v>
      </c>
      <c r="H19" s="24">
        <v>0.1342698162989075</v>
      </c>
      <c r="I19" s="25">
        <v>1196</v>
      </c>
      <c r="J19" s="22">
        <v>1.1361176266056061</v>
      </c>
      <c r="K19" s="23">
        <v>0.27566581340273133</v>
      </c>
      <c r="L19" s="24">
        <v>0.24263844424836695</v>
      </c>
      <c r="M19" s="25">
        <v>140</v>
      </c>
      <c r="N19" s="22">
        <v>2.4407031491802975</v>
      </c>
      <c r="O19" s="23">
        <v>0.32758461794290089</v>
      </c>
      <c r="P19" s="24">
        <v>0.13421731276616705</v>
      </c>
      <c r="Q19" s="25">
        <v>3610</v>
      </c>
      <c r="R19" s="26"/>
      <c r="S19" s="26"/>
      <c r="T19" s="26"/>
    </row>
    <row r="20" spans="1:20" s="4" customFormat="1" ht="19.5" customHeight="1" thickBot="1" x14ac:dyDescent="0.3">
      <c r="A20" s="51" t="s">
        <v>23</v>
      </c>
      <c r="B20" s="28">
        <v>3.109654021063037</v>
      </c>
      <c r="C20" s="29">
        <v>0.56724109575064463</v>
      </c>
      <c r="D20" s="30">
        <v>0.18241292822560787</v>
      </c>
      <c r="E20" s="31">
        <v>469</v>
      </c>
      <c r="F20" s="28">
        <v>2.1816975910628837</v>
      </c>
      <c r="G20" s="29">
        <v>0.37867788904563499</v>
      </c>
      <c r="H20" s="30">
        <v>0.17357029250839021</v>
      </c>
      <c r="I20" s="31">
        <v>508</v>
      </c>
      <c r="J20" s="28">
        <v>1.2028214215837418</v>
      </c>
      <c r="K20" s="29">
        <v>0.29751339283049255</v>
      </c>
      <c r="L20" s="30">
        <v>0.24734627060329531</v>
      </c>
      <c r="M20" s="31">
        <v>63</v>
      </c>
      <c r="N20" s="28">
        <v>2.6555461337827864</v>
      </c>
      <c r="O20" s="29">
        <v>0.35470981509621002</v>
      </c>
      <c r="P20" s="30">
        <v>0.13357320762902022</v>
      </c>
      <c r="Q20" s="31">
        <v>1040</v>
      </c>
      <c r="R20" s="26"/>
      <c r="S20" s="26"/>
      <c r="T20" s="26"/>
    </row>
    <row r="21" spans="1:20" s="4" customFormat="1" ht="24.75" customHeight="1" thickTop="1" x14ac:dyDescent="0.25">
      <c r="A21" s="35" t="s">
        <v>4</v>
      </c>
      <c r="B21" s="36">
        <v>2.8017584398157589</v>
      </c>
      <c r="C21" s="37">
        <v>0.40036771639394658</v>
      </c>
      <c r="D21" s="38">
        <v>0.14289872770768719</v>
      </c>
      <c r="E21" s="39">
        <v>2743</v>
      </c>
      <c r="F21" s="36">
        <v>2.0991271044085158</v>
      </c>
      <c r="G21" s="37">
        <v>0.22871390526819618</v>
      </c>
      <c r="H21" s="38">
        <v>0.1089566728893448</v>
      </c>
      <c r="I21" s="39">
        <v>1704</v>
      </c>
      <c r="J21" s="36">
        <v>1.1484141159518677</v>
      </c>
      <c r="K21" s="37">
        <v>0.22273445495005506</v>
      </c>
      <c r="L21" s="38">
        <v>0.19394959697568739</v>
      </c>
      <c r="M21" s="39">
        <v>203</v>
      </c>
      <c r="N21" s="36">
        <v>2.5081167494423395</v>
      </c>
      <c r="O21" s="37">
        <v>0.27059761660914083</v>
      </c>
      <c r="P21" s="38">
        <v>0.10788876421693931</v>
      </c>
      <c r="Q21" s="39">
        <v>4650</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115</v>
      </c>
      <c r="B23" s="44" t="s">
        <v>26</v>
      </c>
      <c r="C23" s="4" t="s">
        <v>110</v>
      </c>
    </row>
    <row r="24" spans="1:20" s="4" customFormat="1" x14ac:dyDescent="0.25">
      <c r="A24" s="40"/>
      <c r="B24" s="45" t="s">
        <v>26</v>
      </c>
      <c r="C24" s="4" t="s">
        <v>29</v>
      </c>
    </row>
    <row r="25" spans="1:20" x14ac:dyDescent="0.25">
      <c r="A25" s="154" t="s">
        <v>240</v>
      </c>
    </row>
  </sheetData>
  <mergeCells count="2">
    <mergeCell ref="N2:Q2"/>
    <mergeCell ref="N3:Q3"/>
  </mergeCells>
  <conditionalFormatting sqref="M5:M15">
    <cfRule type="expression" dxfId="437" priority="32">
      <formula>M5&lt;=1</formula>
    </cfRule>
  </conditionalFormatting>
  <conditionalFormatting sqref="I5:I15">
    <cfRule type="expression" dxfId="436" priority="31">
      <formula>I5&lt;=1</formula>
    </cfRule>
  </conditionalFormatting>
  <conditionalFormatting sqref="E5:E15">
    <cfRule type="expression" dxfId="435" priority="30">
      <formula>E5&lt;=1</formula>
    </cfRule>
  </conditionalFormatting>
  <conditionalFormatting sqref="D5:D15 D19:D20 H19:H20 L19:L20 P19:P20">
    <cfRule type="expression" dxfId="434" priority="26">
      <formula>OR(D5&gt;=0.5,E5&lt;=5)</formula>
    </cfRule>
    <cfRule type="expression" dxfId="433" priority="29">
      <formula>E5&lt;=1</formula>
    </cfRule>
  </conditionalFormatting>
  <conditionalFormatting sqref="Q5:Q15">
    <cfRule type="expression" dxfId="432" priority="23">
      <formula>Q5&lt;=1</formula>
    </cfRule>
  </conditionalFormatting>
  <conditionalFormatting sqref="B5:B16 B19:B21 F19:F21 J19:J21 N19:N21">
    <cfRule type="expression" dxfId="431" priority="24">
      <formula>OR(D5&gt;=0.5,E5&lt;=5)</formula>
    </cfRule>
    <cfRule type="expression" dxfId="430" priority="27">
      <formula>E5&lt;=1</formula>
    </cfRule>
  </conditionalFormatting>
  <conditionalFormatting sqref="C5:C16 C19:C21 G19:G21 K19:K21 O19:O21">
    <cfRule type="expression" dxfId="429" priority="25">
      <formula>OR(D5&gt;=0.5,E5&lt;=5)</formula>
    </cfRule>
    <cfRule type="expression" dxfId="428" priority="28">
      <formula>E5&lt;=1</formula>
    </cfRule>
  </conditionalFormatting>
  <conditionalFormatting sqref="F5:F16">
    <cfRule type="expression" dxfId="427" priority="21">
      <formula>OR(H5&gt;=0.5,I5&lt;=5)</formula>
    </cfRule>
    <cfRule type="expression" dxfId="426" priority="22">
      <formula>I5&lt;=1</formula>
    </cfRule>
  </conditionalFormatting>
  <conditionalFormatting sqref="J5:J16">
    <cfRule type="expression" dxfId="425" priority="19">
      <formula>OR(L5&gt;=0.5,M5&lt;=5)</formula>
    </cfRule>
    <cfRule type="expression" dxfId="424" priority="20">
      <formula>M5&lt;=1</formula>
    </cfRule>
  </conditionalFormatting>
  <conditionalFormatting sqref="N5:N16">
    <cfRule type="expression" dxfId="423" priority="17">
      <formula>OR(P5&gt;=0.5,Q5&lt;=5)</formula>
    </cfRule>
    <cfRule type="expression" dxfId="422" priority="18">
      <formula>Q5&lt;=1</formula>
    </cfRule>
  </conditionalFormatting>
  <conditionalFormatting sqref="H5:H15">
    <cfRule type="expression" dxfId="421" priority="14">
      <formula>OR(H5&gt;=0.5,I5&lt;=5)</formula>
    </cfRule>
    <cfRule type="expression" dxfId="420" priority="16">
      <formula>I5&lt;=1</formula>
    </cfRule>
  </conditionalFormatting>
  <conditionalFormatting sqref="G5:G16">
    <cfRule type="expression" dxfId="419" priority="13">
      <formula>OR(H5&gt;=0.5,I5&lt;=5)</formula>
    </cfRule>
    <cfRule type="expression" dxfId="418" priority="15">
      <formula>I5&lt;=1</formula>
    </cfRule>
  </conditionalFormatting>
  <conditionalFormatting sqref="L5:L15">
    <cfRule type="expression" dxfId="417" priority="10">
      <formula>OR(L5&gt;=0.5,M5&lt;=5)</formula>
    </cfRule>
    <cfRule type="expression" dxfId="416" priority="12">
      <formula>M5&lt;=1</formula>
    </cfRule>
  </conditionalFormatting>
  <conditionalFormatting sqref="K5:K16">
    <cfRule type="expression" dxfId="415" priority="9">
      <formula>OR(L5&gt;=0.5,M5&lt;=5)</formula>
    </cfRule>
    <cfRule type="expression" dxfId="414" priority="11">
      <formula>M5&lt;=1</formula>
    </cfRule>
  </conditionalFormatting>
  <conditionalFormatting sqref="P5:P15">
    <cfRule type="expression" dxfId="413" priority="6">
      <formula>OR(P5&gt;=0.5,Q5&lt;=5)</formula>
    </cfRule>
    <cfRule type="expression" dxfId="412" priority="8">
      <formula>Q5&lt;=1</formula>
    </cfRule>
  </conditionalFormatting>
  <conditionalFormatting sqref="O5:O16">
    <cfRule type="expression" dxfId="411" priority="5">
      <formula>OR(P5&gt;=0.5,Q5&lt;=5)</formula>
    </cfRule>
    <cfRule type="expression" dxfId="410" priority="7">
      <formula>Q5&lt;=1</formula>
    </cfRule>
  </conditionalFormatting>
  <conditionalFormatting sqref="M19:M20">
    <cfRule type="expression" dxfId="409" priority="4">
      <formula>M19&lt;=1</formula>
    </cfRule>
  </conditionalFormatting>
  <conditionalFormatting sqref="I19:I20">
    <cfRule type="expression" dxfId="408" priority="3">
      <formula>I19&lt;=1</formula>
    </cfRule>
  </conditionalFormatting>
  <conditionalFormatting sqref="E19:E20">
    <cfRule type="expression" dxfId="407" priority="2">
      <formula>E19&lt;=1</formula>
    </cfRule>
  </conditionalFormatting>
  <conditionalFormatting sqref="Q19:Q20">
    <cfRule type="expression" dxfId="406" priority="1">
      <formula>Q19&lt;=1</formula>
    </cfRule>
  </conditionalFormatting>
  <hyperlinks>
    <hyperlink ref="A25" location="Überblick!A1" display="zurück zur Übersicht" xr:uid="{988C84E4-94D1-4F3A-9454-A3775602AAA2}"/>
  </hyperlink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8FAD2-A03F-496C-A915-FE1270ED168C}">
  <dimension ref="A1:T25"/>
  <sheetViews>
    <sheetView workbookViewId="0">
      <selection activeCell="A25" sqref="A25"/>
    </sheetView>
  </sheetViews>
  <sheetFormatPr baseColWidth="10" defaultRowHeight="15" x14ac:dyDescent="0.25"/>
  <cols>
    <col min="1" max="1" width="66.85546875" customWidth="1"/>
  </cols>
  <sheetData>
    <row r="1" spans="1:20" s="4" customFormat="1" ht="36.75" customHeight="1" x14ac:dyDescent="0.25">
      <c r="A1" s="1" t="s">
        <v>214</v>
      </c>
      <c r="B1" s="2"/>
      <c r="C1" s="2"/>
      <c r="D1" s="2"/>
      <c r="E1" s="2"/>
      <c r="F1" s="2"/>
      <c r="G1" s="2"/>
      <c r="H1" s="2"/>
      <c r="I1" s="2"/>
      <c r="J1" s="2"/>
      <c r="K1" s="2"/>
      <c r="L1" s="2"/>
      <c r="M1" s="2"/>
      <c r="N1" s="2"/>
      <c r="O1" s="2"/>
      <c r="P1" s="2"/>
      <c r="Q1" s="3"/>
    </row>
    <row r="2" spans="1:20" s="4" customFormat="1" ht="36.75" customHeight="1" x14ac:dyDescent="0.25">
      <c r="A2" s="86" t="s">
        <v>117</v>
      </c>
      <c r="B2" s="6" t="s">
        <v>0</v>
      </c>
      <c r="C2" s="7"/>
      <c r="D2" s="7"/>
      <c r="E2" s="7"/>
      <c r="F2" s="7"/>
      <c r="G2" s="7"/>
      <c r="H2" s="7"/>
      <c r="I2" s="7"/>
      <c r="J2" s="7"/>
      <c r="K2" s="7"/>
      <c r="L2" s="7"/>
      <c r="M2" s="8"/>
      <c r="N2" s="170"/>
      <c r="O2" s="171"/>
      <c r="P2" s="171"/>
      <c r="Q2" s="172"/>
    </row>
    <row r="3" spans="1:20" s="4" customFormat="1" ht="50.25" customHeight="1" x14ac:dyDescent="0.25">
      <c r="A3" s="52" t="s">
        <v>213</v>
      </c>
      <c r="B3" s="11" t="s">
        <v>1</v>
      </c>
      <c r="C3" s="12"/>
      <c r="D3" s="12"/>
      <c r="E3" s="13"/>
      <c r="F3" s="11" t="s">
        <v>33</v>
      </c>
      <c r="G3" s="12"/>
      <c r="H3" s="12"/>
      <c r="I3" s="13"/>
      <c r="J3" s="11" t="s">
        <v>3</v>
      </c>
      <c r="K3" s="12"/>
      <c r="L3" s="12"/>
      <c r="M3" s="14"/>
      <c r="N3" s="170" t="s">
        <v>4</v>
      </c>
      <c r="O3" s="171"/>
      <c r="P3" s="171"/>
      <c r="Q3" s="172"/>
    </row>
    <row r="4" spans="1:20" s="4" customFormat="1" ht="50.25" customHeight="1" x14ac:dyDescent="0.25">
      <c r="A4" s="5" t="s">
        <v>5</v>
      </c>
      <c r="B4" s="87" t="s">
        <v>118</v>
      </c>
      <c r="C4" s="88" t="s">
        <v>109</v>
      </c>
      <c r="D4" s="88" t="s">
        <v>8</v>
      </c>
      <c r="E4" s="89" t="s">
        <v>9</v>
      </c>
      <c r="F4" s="87" t="s">
        <v>118</v>
      </c>
      <c r="G4" s="88" t="s">
        <v>109</v>
      </c>
      <c r="H4" s="88" t="s">
        <v>8</v>
      </c>
      <c r="I4" s="89" t="s">
        <v>9</v>
      </c>
      <c r="J4" s="87" t="s">
        <v>118</v>
      </c>
      <c r="K4" s="88" t="s">
        <v>109</v>
      </c>
      <c r="L4" s="88" t="s">
        <v>8</v>
      </c>
      <c r="M4" s="89" t="s">
        <v>9</v>
      </c>
      <c r="N4" s="87" t="s">
        <v>118</v>
      </c>
      <c r="O4" s="88" t="s">
        <v>109</v>
      </c>
      <c r="P4" s="88" t="s">
        <v>8</v>
      </c>
      <c r="Q4" s="89" t="s">
        <v>9</v>
      </c>
    </row>
    <row r="5" spans="1:20" s="4" customFormat="1" ht="19.5" customHeight="1" x14ac:dyDescent="0.25">
      <c r="A5" s="21" t="s">
        <v>10</v>
      </c>
      <c r="B5" s="22">
        <v>0.4381323979599791</v>
      </c>
      <c r="C5" s="23">
        <v>7.1619316328916674E-2</v>
      </c>
      <c r="D5" s="24">
        <v>0.16346500889317636</v>
      </c>
      <c r="E5" s="25">
        <v>435</v>
      </c>
      <c r="F5" s="22">
        <v>0.23982193244048894</v>
      </c>
      <c r="G5" s="23">
        <v>3.7937556065525076E-2</v>
      </c>
      <c r="H5" s="24">
        <v>0.15819051943858037</v>
      </c>
      <c r="I5" s="25">
        <v>226</v>
      </c>
      <c r="J5" s="22">
        <v>0.14254876122054691</v>
      </c>
      <c r="K5" s="23">
        <v>4.2467723694281631E-2</v>
      </c>
      <c r="L5" s="24">
        <v>0.29791717115364419</v>
      </c>
      <c r="M5" s="25">
        <v>22</v>
      </c>
      <c r="N5" s="22">
        <v>0.36943142440465332</v>
      </c>
      <c r="O5" s="23">
        <v>5.4407840198897758E-2</v>
      </c>
      <c r="P5" s="24">
        <v>0.14727453217218098</v>
      </c>
      <c r="Q5" s="25">
        <v>683</v>
      </c>
      <c r="R5" s="26"/>
      <c r="S5" s="26"/>
      <c r="T5" s="26"/>
    </row>
    <row r="6" spans="1:20" s="4" customFormat="1" ht="19.5" customHeight="1" x14ac:dyDescent="0.25">
      <c r="A6" s="27" t="s">
        <v>11</v>
      </c>
      <c r="B6" s="28">
        <v>0.40251223329176766</v>
      </c>
      <c r="C6" s="29">
        <v>0.1092780338068793</v>
      </c>
      <c r="D6" s="30">
        <v>0.27148996916987439</v>
      </c>
      <c r="E6" s="31">
        <v>37</v>
      </c>
      <c r="F6" s="28">
        <v>0.12561147936501313</v>
      </c>
      <c r="G6" s="29">
        <v>7.2186451780710786E-2</v>
      </c>
      <c r="H6" s="30">
        <v>0.57468037273046446</v>
      </c>
      <c r="I6" s="31">
        <v>37</v>
      </c>
      <c r="J6" s="28">
        <v>0.14117796595515517</v>
      </c>
      <c r="K6" s="29">
        <v>1.6740715975037807E-2</v>
      </c>
      <c r="L6" s="30">
        <v>0.11857881548141481</v>
      </c>
      <c r="M6" s="31">
        <v>10</v>
      </c>
      <c r="N6" s="28">
        <v>0.29236596841063678</v>
      </c>
      <c r="O6" s="29">
        <v>7.1887313714403114E-2</v>
      </c>
      <c r="P6" s="30">
        <v>0.24588126349040468</v>
      </c>
      <c r="Q6" s="31">
        <v>84</v>
      </c>
      <c r="R6" s="26"/>
      <c r="S6" s="26"/>
      <c r="T6" s="26"/>
    </row>
    <row r="7" spans="1:20" s="4" customFormat="1" ht="19.5" customHeight="1" x14ac:dyDescent="0.25">
      <c r="A7" s="27" t="s">
        <v>12</v>
      </c>
      <c r="B7" s="28">
        <v>0.31004635455971713</v>
      </c>
      <c r="C7" s="29">
        <v>7.3631176290399031E-2</v>
      </c>
      <c r="D7" s="30">
        <v>0.23748441227428507</v>
      </c>
      <c r="E7" s="31">
        <v>74</v>
      </c>
      <c r="F7" s="28">
        <v>0.23276836476098425</v>
      </c>
      <c r="G7" s="29">
        <v>6.0882614335637832E-2</v>
      </c>
      <c r="H7" s="30">
        <v>0.26155880073374449</v>
      </c>
      <c r="I7" s="31">
        <v>49</v>
      </c>
      <c r="J7" s="28">
        <v>9.2851104489763414E-2</v>
      </c>
      <c r="K7" s="29">
        <v>3.0349180843122488E-2</v>
      </c>
      <c r="L7" s="30">
        <v>0.32685858730380968</v>
      </c>
      <c r="M7" s="31">
        <v>8</v>
      </c>
      <c r="N7" s="28">
        <v>0.25991213338229607</v>
      </c>
      <c r="O7" s="29">
        <v>4.4835219522123174E-2</v>
      </c>
      <c r="P7" s="30">
        <v>0.17250144861908601</v>
      </c>
      <c r="Q7" s="31">
        <v>131</v>
      </c>
      <c r="R7" s="26"/>
      <c r="S7" s="26"/>
      <c r="T7" s="26"/>
    </row>
    <row r="8" spans="1:20" s="4" customFormat="1" ht="19.5" customHeight="1" x14ac:dyDescent="0.25">
      <c r="A8" s="27" t="s">
        <v>13</v>
      </c>
      <c r="B8" s="28">
        <v>0.43793403097828321</v>
      </c>
      <c r="C8" s="29">
        <v>4.3525111559704475E-2</v>
      </c>
      <c r="D8" s="30">
        <v>9.9387369970941691E-2</v>
      </c>
      <c r="E8" s="31">
        <v>563</v>
      </c>
      <c r="F8" s="28">
        <v>0.25035036740930161</v>
      </c>
      <c r="G8" s="29">
        <v>7.6537827323490487E-2</v>
      </c>
      <c r="H8" s="30">
        <v>0.30572284800508254</v>
      </c>
      <c r="I8" s="31">
        <v>190</v>
      </c>
      <c r="J8" s="28">
        <v>0.1408960155801304</v>
      </c>
      <c r="K8" s="29">
        <v>6.6552571038312455E-2</v>
      </c>
      <c r="L8" s="30">
        <v>0.47235239949324664</v>
      </c>
      <c r="M8" s="31">
        <v>23</v>
      </c>
      <c r="N8" s="28">
        <v>0.36095016711499722</v>
      </c>
      <c r="O8" s="29">
        <v>6.7400625264655026E-2</v>
      </c>
      <c r="P8" s="30">
        <v>0.18673110973565907</v>
      </c>
      <c r="Q8" s="31">
        <v>776</v>
      </c>
      <c r="R8" s="26"/>
      <c r="S8" s="26"/>
      <c r="T8" s="26"/>
    </row>
    <row r="9" spans="1:20" s="4" customFormat="1" ht="19.5" customHeight="1" x14ac:dyDescent="0.25">
      <c r="A9" s="27" t="s">
        <v>14</v>
      </c>
      <c r="B9" s="28">
        <v>0.74792985260308764</v>
      </c>
      <c r="C9" s="29">
        <v>0.16894308306558725</v>
      </c>
      <c r="D9" s="30">
        <v>0.22588091981834851</v>
      </c>
      <c r="E9" s="31">
        <v>254</v>
      </c>
      <c r="F9" s="28">
        <v>0.32612662922116975</v>
      </c>
      <c r="G9" s="29">
        <v>0.13253178514656086</v>
      </c>
      <c r="H9" s="30">
        <v>0.40638136622901039</v>
      </c>
      <c r="I9" s="31">
        <v>95</v>
      </c>
      <c r="J9" s="28">
        <v>0.32560960202822081</v>
      </c>
      <c r="K9" s="29">
        <v>9.7469765947790193E-2</v>
      </c>
      <c r="L9" s="30">
        <v>0.29934549024553159</v>
      </c>
      <c r="M9" s="31">
        <v>13</v>
      </c>
      <c r="N9" s="28">
        <v>0.59161051461603043</v>
      </c>
      <c r="O9" s="29">
        <v>0.12092119586009249</v>
      </c>
      <c r="P9" s="30">
        <v>0.20439325007361184</v>
      </c>
      <c r="Q9" s="31">
        <v>362</v>
      </c>
      <c r="R9" s="26"/>
      <c r="S9" s="26"/>
      <c r="T9" s="26"/>
    </row>
    <row r="10" spans="1:20" s="4" customFormat="1" ht="19.5" customHeight="1" x14ac:dyDescent="0.25">
      <c r="A10" s="27" t="s">
        <v>15</v>
      </c>
      <c r="B10" s="28">
        <v>0.39570555511055577</v>
      </c>
      <c r="C10" s="29">
        <v>9.2159025339658307E-2</v>
      </c>
      <c r="D10" s="30">
        <v>0.23289798222294375</v>
      </c>
      <c r="E10" s="31">
        <v>157</v>
      </c>
      <c r="F10" s="28">
        <v>0.34363998082542807</v>
      </c>
      <c r="G10" s="29">
        <v>7.0914429745943475E-2</v>
      </c>
      <c r="H10" s="30">
        <v>0.20636257043085038</v>
      </c>
      <c r="I10" s="31">
        <v>95</v>
      </c>
      <c r="J10" s="28">
        <v>0.14782607356501778</v>
      </c>
      <c r="K10" s="29">
        <v>5.8365829020600418E-2</v>
      </c>
      <c r="L10" s="30">
        <v>0.3948277026713396</v>
      </c>
      <c r="M10" s="31">
        <v>7</v>
      </c>
      <c r="N10" s="28">
        <v>0.36125190832233206</v>
      </c>
      <c r="O10" s="29">
        <v>5.9897393028917736E-2</v>
      </c>
      <c r="P10" s="30">
        <v>0.16580505638595397</v>
      </c>
      <c r="Q10" s="31">
        <v>259</v>
      </c>
      <c r="R10" s="26"/>
      <c r="S10" s="26"/>
      <c r="T10" s="26"/>
    </row>
    <row r="11" spans="1:20" s="4" customFormat="1" ht="19.5" customHeight="1" x14ac:dyDescent="0.25">
      <c r="A11" s="27" t="s">
        <v>16</v>
      </c>
      <c r="B11" s="28">
        <v>0.79767168382583997</v>
      </c>
      <c r="C11" s="29">
        <v>0.14524995787027634</v>
      </c>
      <c r="D11" s="30">
        <v>0.18209240821188477</v>
      </c>
      <c r="E11" s="31">
        <v>157</v>
      </c>
      <c r="F11" s="28">
        <v>0.2938726030707533</v>
      </c>
      <c r="G11" s="29">
        <v>0.19776304928132665</v>
      </c>
      <c r="H11" s="30">
        <v>0.67295503975140158</v>
      </c>
      <c r="I11" s="31">
        <v>77</v>
      </c>
      <c r="J11" s="28">
        <v>0.18393108807995664</v>
      </c>
      <c r="K11" s="29">
        <v>6.1202359414506351E-2</v>
      </c>
      <c r="L11" s="30">
        <v>0.33274613907520129</v>
      </c>
      <c r="M11" s="31">
        <v>5</v>
      </c>
      <c r="N11" s="28">
        <v>0.66622148355307931</v>
      </c>
      <c r="O11" s="29">
        <v>0.13509211012141348</v>
      </c>
      <c r="P11" s="30">
        <v>0.20277357223748307</v>
      </c>
      <c r="Q11" s="31">
        <v>239</v>
      </c>
      <c r="R11" s="26"/>
      <c r="S11" s="26"/>
      <c r="T11" s="26"/>
    </row>
    <row r="12" spans="1:20" s="4" customFormat="1" ht="19.5" customHeight="1" x14ac:dyDescent="0.25">
      <c r="A12" s="27" t="s">
        <v>17</v>
      </c>
      <c r="B12" s="28">
        <v>0.52849888487052299</v>
      </c>
      <c r="C12" s="29">
        <v>9.8784758853147331E-2</v>
      </c>
      <c r="D12" s="30">
        <v>0.18691573753717308</v>
      </c>
      <c r="E12" s="31">
        <v>372</v>
      </c>
      <c r="F12" s="28">
        <v>0.2420040374044696</v>
      </c>
      <c r="G12" s="29">
        <v>5.5384079255907728E-2</v>
      </c>
      <c r="H12" s="30">
        <v>0.22885601351907375</v>
      </c>
      <c r="I12" s="31">
        <v>369</v>
      </c>
      <c r="J12" s="28">
        <v>0.11261399842656922</v>
      </c>
      <c r="K12" s="29">
        <v>5.3911804916484223E-2</v>
      </c>
      <c r="L12" s="30">
        <v>0.47873093638210362</v>
      </c>
      <c r="M12" s="31">
        <v>53</v>
      </c>
      <c r="N12" s="28">
        <v>0.3623844521061399</v>
      </c>
      <c r="O12" s="29">
        <v>5.1646010045946419E-2</v>
      </c>
      <c r="P12" s="30">
        <v>0.14251717960245067</v>
      </c>
      <c r="Q12" s="31">
        <v>794</v>
      </c>
      <c r="R12" s="26"/>
      <c r="S12" s="26"/>
      <c r="T12" s="26"/>
    </row>
    <row r="13" spans="1:20" s="4" customFormat="1" ht="19.5" customHeight="1" x14ac:dyDescent="0.25">
      <c r="A13" s="27" t="s">
        <v>18</v>
      </c>
      <c r="B13" s="28">
        <v>0.22440816958813942</v>
      </c>
      <c r="C13" s="29">
        <v>6.5939432883423937E-2</v>
      </c>
      <c r="D13" s="30">
        <v>0.29383704258380539</v>
      </c>
      <c r="E13" s="31">
        <v>76</v>
      </c>
      <c r="F13" s="28">
        <v>0.31369057218288221</v>
      </c>
      <c r="G13" s="29">
        <v>9.0145733084335516E-2</v>
      </c>
      <c r="H13" s="30">
        <v>0.28737150899065078</v>
      </c>
      <c r="I13" s="31">
        <v>86</v>
      </c>
      <c r="J13" s="28">
        <v>0.15591016914060482</v>
      </c>
      <c r="K13" s="29">
        <v>3.7036492815538065E-2</v>
      </c>
      <c r="L13" s="30">
        <v>0.23755020611989305</v>
      </c>
      <c r="M13" s="31">
        <v>12</v>
      </c>
      <c r="N13" s="28">
        <v>0.24954496245331168</v>
      </c>
      <c r="O13" s="29">
        <v>5.7289807722939186E-2</v>
      </c>
      <c r="P13" s="30">
        <v>0.22957709568534271</v>
      </c>
      <c r="Q13" s="31">
        <v>174</v>
      </c>
      <c r="R13" s="26"/>
      <c r="S13" s="26"/>
      <c r="T13" s="26"/>
    </row>
    <row r="14" spans="1:20" s="4" customFormat="1" ht="19.5" customHeight="1" x14ac:dyDescent="0.25">
      <c r="A14" s="27" t="s">
        <v>19</v>
      </c>
      <c r="B14" s="32">
        <v>0.99214223616057085</v>
      </c>
      <c r="C14" s="33">
        <v>0.25786548132768189</v>
      </c>
      <c r="D14" s="30">
        <v>0.25990777524559316</v>
      </c>
      <c r="E14" s="31">
        <v>21</v>
      </c>
      <c r="F14" s="32">
        <v>0.22038265023723791</v>
      </c>
      <c r="G14" s="33">
        <v>3.7028834845008761E-2</v>
      </c>
      <c r="H14" s="30">
        <v>0.16802064411671197</v>
      </c>
      <c r="I14" s="31">
        <v>19</v>
      </c>
      <c r="J14" s="32">
        <v>0.15000000000000002</v>
      </c>
      <c r="K14" s="33">
        <v>5.1131888892627979E-2</v>
      </c>
      <c r="L14" s="30">
        <v>0.3408792592841865</v>
      </c>
      <c r="M14" s="31">
        <v>1</v>
      </c>
      <c r="N14" s="32">
        <v>0.4323792080991829</v>
      </c>
      <c r="O14" s="33">
        <v>0.15336257545244314</v>
      </c>
      <c r="P14" s="30">
        <v>0.3546946119973084</v>
      </c>
      <c r="Q14" s="31">
        <v>41</v>
      </c>
      <c r="R14" s="26"/>
      <c r="S14" s="26"/>
      <c r="T14" s="26"/>
    </row>
    <row r="15" spans="1:20" s="4" customFormat="1" ht="19.5" customHeight="1" thickBot="1" x14ac:dyDescent="0.3">
      <c r="A15" s="27" t="s">
        <v>20</v>
      </c>
      <c r="B15" s="32">
        <v>1.4106607842998642</v>
      </c>
      <c r="C15" s="34">
        <v>0.87636705686950378</v>
      </c>
      <c r="D15" s="30">
        <v>0.62124577830697991</v>
      </c>
      <c r="E15" s="31">
        <v>13</v>
      </c>
      <c r="F15" s="32">
        <v>0.41408708164794678</v>
      </c>
      <c r="G15" s="34">
        <v>3.4733036090354219E-2</v>
      </c>
      <c r="H15" s="30">
        <v>8.3878579240209056E-2</v>
      </c>
      <c r="I15" s="31">
        <v>6</v>
      </c>
      <c r="J15" s="32">
        <v>0.15</v>
      </c>
      <c r="K15" s="34">
        <v>1.9801916129867585E-2</v>
      </c>
      <c r="L15" s="30">
        <v>0.13201277419911725</v>
      </c>
      <c r="M15" s="31">
        <v>1</v>
      </c>
      <c r="N15" s="32">
        <v>0.89764556875238155</v>
      </c>
      <c r="O15" s="34">
        <v>0.45163091610260586</v>
      </c>
      <c r="P15" s="30">
        <v>0.50312833018305658</v>
      </c>
      <c r="Q15" s="31">
        <v>20</v>
      </c>
      <c r="R15" s="26"/>
      <c r="S15" s="26"/>
      <c r="T15" s="26"/>
    </row>
    <row r="16" spans="1:20" s="4" customFormat="1" ht="24.75" customHeight="1" thickTop="1" x14ac:dyDescent="0.25">
      <c r="A16" s="35" t="s">
        <v>4</v>
      </c>
      <c r="B16" s="36">
        <v>0.44568902785411724</v>
      </c>
      <c r="C16" s="37">
        <v>4.1261967643764601E-2</v>
      </c>
      <c r="D16" s="38">
        <v>9.2580173764722912E-2</v>
      </c>
      <c r="E16" s="39">
        <v>2159</v>
      </c>
      <c r="F16" s="36">
        <v>0.26636776904467968</v>
      </c>
      <c r="G16" s="37">
        <v>3.9098970486276981E-2</v>
      </c>
      <c r="H16" s="38">
        <v>0.14678566639839463</v>
      </c>
      <c r="I16" s="39">
        <v>1249</v>
      </c>
      <c r="J16" s="36">
        <v>0.13197204407274238</v>
      </c>
      <c r="K16" s="37">
        <v>3.0088708938026457E-2</v>
      </c>
      <c r="L16" s="38">
        <v>0.22799305072096709</v>
      </c>
      <c r="M16" s="39">
        <v>155</v>
      </c>
      <c r="N16" s="36">
        <v>0.36007513753026837</v>
      </c>
      <c r="O16" s="37">
        <v>2.9736109441082011E-2</v>
      </c>
      <c r="P16" s="38">
        <v>8.2583067648158176E-2</v>
      </c>
      <c r="Q16" s="39">
        <v>3563</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87" t="s">
        <v>118</v>
      </c>
      <c r="C18" s="88" t="s">
        <v>109</v>
      </c>
      <c r="D18" s="88" t="s">
        <v>8</v>
      </c>
      <c r="E18" s="89" t="s">
        <v>9</v>
      </c>
      <c r="F18" s="87" t="s">
        <v>118</v>
      </c>
      <c r="G18" s="88" t="s">
        <v>109</v>
      </c>
      <c r="H18" s="88" t="s">
        <v>8</v>
      </c>
      <c r="I18" s="89" t="s">
        <v>9</v>
      </c>
      <c r="J18" s="87" t="s">
        <v>118</v>
      </c>
      <c r="K18" s="88" t="s">
        <v>109</v>
      </c>
      <c r="L18" s="88" t="s">
        <v>8</v>
      </c>
      <c r="M18" s="89" t="s">
        <v>9</v>
      </c>
      <c r="N18" s="87" t="s">
        <v>118</v>
      </c>
      <c r="O18" s="88" t="s">
        <v>109</v>
      </c>
      <c r="P18" s="88" t="s">
        <v>8</v>
      </c>
      <c r="Q18" s="89" t="s">
        <v>9</v>
      </c>
    </row>
    <row r="19" spans="1:20" s="4" customFormat="1" ht="19.5" customHeight="1" x14ac:dyDescent="0.25">
      <c r="A19" s="50" t="s">
        <v>22</v>
      </c>
      <c r="B19" s="22">
        <v>0.38487303199036366</v>
      </c>
      <c r="C19" s="23">
        <v>3.5737496197360712E-2</v>
      </c>
      <c r="D19" s="24">
        <v>9.285528791805682E-2</v>
      </c>
      <c r="E19" s="25">
        <v>1753</v>
      </c>
      <c r="F19" s="22">
        <v>0.28376607930139885</v>
      </c>
      <c r="G19" s="23">
        <v>5.3072201241609551E-2</v>
      </c>
      <c r="H19" s="24">
        <v>0.1870279963421545</v>
      </c>
      <c r="I19" s="25">
        <v>855</v>
      </c>
      <c r="J19" s="22">
        <v>0.1526907341280605</v>
      </c>
      <c r="K19" s="23">
        <v>3.212342108219815E-2</v>
      </c>
      <c r="L19" s="24">
        <v>0.21038225577759351</v>
      </c>
      <c r="M19" s="25">
        <v>100</v>
      </c>
      <c r="N19" s="22">
        <v>0.34293677006160006</v>
      </c>
      <c r="O19" s="23">
        <v>3.1703395152286658E-2</v>
      </c>
      <c r="P19" s="24">
        <v>9.2446765468141345E-2</v>
      </c>
      <c r="Q19" s="25">
        <v>2708</v>
      </c>
      <c r="R19" s="26"/>
      <c r="S19" s="26"/>
      <c r="T19" s="26"/>
    </row>
    <row r="20" spans="1:20" s="4" customFormat="1" ht="19.5" customHeight="1" thickBot="1" x14ac:dyDescent="0.3">
      <c r="A20" s="51" t="s">
        <v>23</v>
      </c>
      <c r="B20" s="28">
        <v>0.55975305235993877</v>
      </c>
      <c r="C20" s="29">
        <v>9.8882874809059149E-2</v>
      </c>
      <c r="D20" s="30">
        <v>0.17665446287816641</v>
      </c>
      <c r="E20" s="31">
        <v>406</v>
      </c>
      <c r="F20" s="28">
        <v>0.24829557519851611</v>
      </c>
      <c r="G20" s="29">
        <v>5.4077824859040245E-2</v>
      </c>
      <c r="H20" s="30">
        <v>0.21779616819914813</v>
      </c>
      <c r="I20" s="31">
        <v>394</v>
      </c>
      <c r="J20" s="28">
        <v>0.11181945448266835</v>
      </c>
      <c r="K20" s="29">
        <v>5.0948478552572569E-2</v>
      </c>
      <c r="L20" s="30">
        <v>0.45563161426860133</v>
      </c>
      <c r="M20" s="31">
        <v>55</v>
      </c>
      <c r="N20" s="28">
        <v>0.37822242763053143</v>
      </c>
      <c r="O20" s="29">
        <v>5.226035316978081E-2</v>
      </c>
      <c r="P20" s="30">
        <v>0.13817359667743345</v>
      </c>
      <c r="Q20" s="31">
        <v>855</v>
      </c>
      <c r="R20" s="26"/>
      <c r="S20" s="26"/>
      <c r="T20" s="26"/>
    </row>
    <row r="21" spans="1:20" s="4" customFormat="1" ht="24.75" customHeight="1" thickTop="1" x14ac:dyDescent="0.25">
      <c r="A21" s="35" t="s">
        <v>4</v>
      </c>
      <c r="B21" s="36">
        <v>0.44568902785411724</v>
      </c>
      <c r="C21" s="37">
        <v>4.1261967643764601E-2</v>
      </c>
      <c r="D21" s="38">
        <v>9.2580173764722912E-2</v>
      </c>
      <c r="E21" s="39">
        <v>2159</v>
      </c>
      <c r="F21" s="36">
        <v>0.26636776904467968</v>
      </c>
      <c r="G21" s="37">
        <v>3.9098970486276981E-2</v>
      </c>
      <c r="H21" s="38">
        <v>0.14678566639839463</v>
      </c>
      <c r="I21" s="39">
        <v>1249</v>
      </c>
      <c r="J21" s="36">
        <v>0.13197204407274238</v>
      </c>
      <c r="K21" s="37">
        <v>3.0088708938026457E-2</v>
      </c>
      <c r="L21" s="38">
        <v>0.22799305072096709</v>
      </c>
      <c r="M21" s="39">
        <v>155</v>
      </c>
      <c r="N21" s="36">
        <v>0.36007513753026837</v>
      </c>
      <c r="O21" s="37">
        <v>2.9736109441082011E-2</v>
      </c>
      <c r="P21" s="38">
        <v>8.2583067648158176E-2</v>
      </c>
      <c r="Q21" s="39">
        <v>3563</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75</v>
      </c>
      <c r="B23" s="44" t="s">
        <v>26</v>
      </c>
      <c r="C23" s="4" t="s">
        <v>110</v>
      </c>
    </row>
    <row r="24" spans="1:20" s="4" customFormat="1" x14ac:dyDescent="0.25">
      <c r="A24" s="40"/>
      <c r="B24" s="45" t="s">
        <v>26</v>
      </c>
      <c r="C24" s="4" t="s">
        <v>29</v>
      </c>
    </row>
    <row r="25" spans="1:20" x14ac:dyDescent="0.25">
      <c r="A25" s="154" t="s">
        <v>240</v>
      </c>
    </row>
  </sheetData>
  <mergeCells count="2">
    <mergeCell ref="N2:Q2"/>
    <mergeCell ref="N3:Q3"/>
  </mergeCells>
  <conditionalFormatting sqref="M5:M15">
    <cfRule type="expression" dxfId="405" priority="32">
      <formula>M5&lt;=1</formula>
    </cfRule>
  </conditionalFormatting>
  <conditionalFormatting sqref="I5:I15">
    <cfRule type="expression" dxfId="404" priority="31">
      <formula>I5&lt;=1</formula>
    </cfRule>
  </conditionalFormatting>
  <conditionalFormatting sqref="E5:E15">
    <cfRule type="expression" dxfId="403" priority="30">
      <formula>E5&lt;=1</formula>
    </cfRule>
  </conditionalFormatting>
  <conditionalFormatting sqref="D5:D15 D19:D20 H19:H20 L19:L20 P19:P20">
    <cfRule type="expression" dxfId="402" priority="26">
      <formula>OR(D5&gt;=0.5,E5&lt;=5)</formula>
    </cfRule>
    <cfRule type="expression" dxfId="401" priority="29">
      <formula>E5&lt;=1</formula>
    </cfRule>
  </conditionalFormatting>
  <conditionalFormatting sqref="Q5:Q15">
    <cfRule type="expression" dxfId="400" priority="23">
      <formula>Q5&lt;=1</formula>
    </cfRule>
  </conditionalFormatting>
  <conditionalFormatting sqref="B5:B16 B19:B21 F19:F21 J19:J21 N19:N21">
    <cfRule type="expression" dxfId="399" priority="24">
      <formula>OR(D5&gt;=0.5,E5&lt;=5)</formula>
    </cfRule>
    <cfRule type="expression" dxfId="398" priority="27">
      <formula>E5&lt;=1</formula>
    </cfRule>
  </conditionalFormatting>
  <conditionalFormatting sqref="C5:C16 C19:C21 G19:G21 K19:K21 O19:O21">
    <cfRule type="expression" dxfId="397" priority="25">
      <formula>OR(D5&gt;=0.5,E5&lt;=5)</formula>
    </cfRule>
    <cfRule type="expression" dxfId="396" priority="28">
      <formula>E5&lt;=1</formula>
    </cfRule>
  </conditionalFormatting>
  <conditionalFormatting sqref="F5:F16">
    <cfRule type="expression" dxfId="395" priority="21">
      <formula>OR(H5&gt;=0.5,I5&lt;=5)</formula>
    </cfRule>
    <cfRule type="expression" dxfId="394" priority="22">
      <formula>I5&lt;=1</formula>
    </cfRule>
  </conditionalFormatting>
  <conditionalFormatting sqref="J5:J16">
    <cfRule type="expression" dxfId="393" priority="19">
      <formula>OR(L5&gt;=0.5,M5&lt;=5)</formula>
    </cfRule>
    <cfRule type="expression" dxfId="392" priority="20">
      <formula>M5&lt;=1</formula>
    </cfRule>
  </conditionalFormatting>
  <conditionalFormatting sqref="N5:N16">
    <cfRule type="expression" dxfId="391" priority="17">
      <formula>OR(P5&gt;=0.5,Q5&lt;=5)</formula>
    </cfRule>
    <cfRule type="expression" dxfId="390" priority="18">
      <formula>Q5&lt;=1</formula>
    </cfRule>
  </conditionalFormatting>
  <conditionalFormatting sqref="H5:H15">
    <cfRule type="expression" dxfId="389" priority="14">
      <formula>OR(H5&gt;=0.5,I5&lt;=5)</formula>
    </cfRule>
    <cfRule type="expression" dxfId="388" priority="16">
      <formula>I5&lt;=1</formula>
    </cfRule>
  </conditionalFormatting>
  <conditionalFormatting sqref="G5:G16">
    <cfRule type="expression" dxfId="387" priority="13">
      <formula>OR(H5&gt;=0.5,I5&lt;=5)</formula>
    </cfRule>
    <cfRule type="expression" dxfId="386" priority="15">
      <formula>I5&lt;=1</formula>
    </cfRule>
  </conditionalFormatting>
  <conditionalFormatting sqref="L5:L15">
    <cfRule type="expression" dxfId="385" priority="10">
      <formula>OR(L5&gt;=0.5,M5&lt;=5)</formula>
    </cfRule>
    <cfRule type="expression" dxfId="384" priority="12">
      <formula>M5&lt;=1</formula>
    </cfRule>
  </conditionalFormatting>
  <conditionalFormatting sqref="K5:K16">
    <cfRule type="expression" dxfId="383" priority="9">
      <formula>OR(L5&gt;=0.5,M5&lt;=5)</formula>
    </cfRule>
    <cfRule type="expression" dxfId="382" priority="11">
      <formula>M5&lt;=1</formula>
    </cfRule>
  </conditionalFormatting>
  <conditionalFormatting sqref="P5:P15">
    <cfRule type="expression" dxfId="381" priority="6">
      <formula>OR(P5&gt;=0.5,Q5&lt;=5)</formula>
    </cfRule>
    <cfRule type="expression" dxfId="380" priority="8">
      <formula>Q5&lt;=1</formula>
    </cfRule>
  </conditionalFormatting>
  <conditionalFormatting sqref="O5:O16">
    <cfRule type="expression" dxfId="379" priority="5">
      <formula>OR(P5&gt;=0.5,Q5&lt;=5)</formula>
    </cfRule>
    <cfRule type="expression" dxfId="378" priority="7">
      <formula>Q5&lt;=1</formula>
    </cfRule>
  </conditionalFormatting>
  <conditionalFormatting sqref="M19:M20">
    <cfRule type="expression" dxfId="377" priority="4">
      <formula>M19&lt;=1</formula>
    </cfRule>
  </conditionalFormatting>
  <conditionalFormatting sqref="I19:I20">
    <cfRule type="expression" dxfId="376" priority="3">
      <formula>I19&lt;=1</formula>
    </cfRule>
  </conditionalFormatting>
  <conditionalFormatting sqref="E19:E20">
    <cfRule type="expression" dxfId="375" priority="2">
      <formula>E19&lt;=1</formula>
    </cfRule>
  </conditionalFormatting>
  <conditionalFormatting sqref="Q19:Q20">
    <cfRule type="expression" dxfId="374" priority="1">
      <formula>Q19&lt;=1</formula>
    </cfRule>
  </conditionalFormatting>
  <hyperlinks>
    <hyperlink ref="A25" location="Überblick!A1" display="zurück zur Übersicht" xr:uid="{C211D4AC-DB2E-4C7E-8D30-D2C614218A2B}"/>
  </hyperlinks>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E43C4-8D4C-4ADC-A53E-7E2376B580D0}">
  <dimension ref="A1:T25"/>
  <sheetViews>
    <sheetView workbookViewId="0">
      <selection activeCell="A25" sqref="A25"/>
    </sheetView>
  </sheetViews>
  <sheetFormatPr baseColWidth="10" defaultRowHeight="15" x14ac:dyDescent="0.25"/>
  <cols>
    <col min="1" max="1" width="70.7109375" customWidth="1"/>
  </cols>
  <sheetData>
    <row r="1" spans="1:20" s="4" customFormat="1" ht="36.75" customHeight="1" x14ac:dyDescent="0.25">
      <c r="A1" s="1" t="s">
        <v>212</v>
      </c>
      <c r="B1" s="2"/>
      <c r="C1" s="2"/>
      <c r="D1" s="2"/>
      <c r="E1" s="2"/>
      <c r="F1" s="2"/>
      <c r="G1" s="2"/>
      <c r="H1" s="2"/>
      <c r="I1" s="2"/>
      <c r="J1" s="2"/>
      <c r="K1" s="2"/>
      <c r="L1" s="2"/>
      <c r="M1" s="2"/>
      <c r="N1" s="2"/>
      <c r="O1" s="2"/>
      <c r="P1" s="2"/>
      <c r="Q1" s="3"/>
    </row>
    <row r="2" spans="1:20" s="4" customFormat="1" ht="36.75" customHeight="1" x14ac:dyDescent="0.25">
      <c r="A2" s="52" t="s">
        <v>119</v>
      </c>
      <c r="B2" s="6" t="s">
        <v>0</v>
      </c>
      <c r="C2" s="7"/>
      <c r="D2" s="7"/>
      <c r="E2" s="7"/>
      <c r="F2" s="7"/>
      <c r="G2" s="7"/>
      <c r="H2" s="7"/>
      <c r="I2" s="7"/>
      <c r="J2" s="7"/>
      <c r="K2" s="7"/>
      <c r="L2" s="7"/>
      <c r="M2" s="8"/>
      <c r="N2" s="170"/>
      <c r="O2" s="171"/>
      <c r="P2" s="171"/>
      <c r="Q2" s="172"/>
    </row>
    <row r="3" spans="1:20" s="4" customFormat="1" ht="50.25" customHeight="1" x14ac:dyDescent="0.25">
      <c r="A3" s="52" t="s">
        <v>211</v>
      </c>
      <c r="B3" s="11" t="s">
        <v>1</v>
      </c>
      <c r="C3" s="12"/>
      <c r="D3" s="12"/>
      <c r="E3" s="13"/>
      <c r="F3" s="11" t="s">
        <v>33</v>
      </c>
      <c r="G3" s="12"/>
      <c r="H3" s="12"/>
      <c r="I3" s="13"/>
      <c r="J3" s="11" t="s">
        <v>3</v>
      </c>
      <c r="K3" s="12"/>
      <c r="L3" s="12"/>
      <c r="M3" s="14"/>
      <c r="N3" s="170" t="s">
        <v>4</v>
      </c>
      <c r="O3" s="171"/>
      <c r="P3" s="171"/>
      <c r="Q3" s="172"/>
    </row>
    <row r="4" spans="1:20" s="4" customFormat="1" ht="50.25" customHeight="1" x14ac:dyDescent="0.25">
      <c r="A4" s="5" t="s">
        <v>5</v>
      </c>
      <c r="B4" s="17" t="s">
        <v>120</v>
      </c>
      <c r="C4" s="18" t="s">
        <v>109</v>
      </c>
      <c r="D4" s="18" t="s">
        <v>8</v>
      </c>
      <c r="E4" s="19" t="s">
        <v>9</v>
      </c>
      <c r="F4" s="17" t="s">
        <v>120</v>
      </c>
      <c r="G4" s="18" t="s">
        <v>109</v>
      </c>
      <c r="H4" s="18" t="s">
        <v>8</v>
      </c>
      <c r="I4" s="19" t="s">
        <v>9</v>
      </c>
      <c r="J4" s="17" t="s">
        <v>120</v>
      </c>
      <c r="K4" s="18" t="s">
        <v>109</v>
      </c>
      <c r="L4" s="18" t="s">
        <v>8</v>
      </c>
      <c r="M4" s="20" t="s">
        <v>9</v>
      </c>
      <c r="N4" s="17" t="s">
        <v>120</v>
      </c>
      <c r="O4" s="18" t="s">
        <v>109</v>
      </c>
      <c r="P4" s="18" t="s">
        <v>8</v>
      </c>
      <c r="Q4" s="19" t="s">
        <v>9</v>
      </c>
    </row>
    <row r="5" spans="1:20" s="4" customFormat="1" ht="19.5" customHeight="1" x14ac:dyDescent="0.25">
      <c r="A5" s="21" t="s">
        <v>10</v>
      </c>
      <c r="B5" s="22">
        <v>1.5305262259470003</v>
      </c>
      <c r="C5" s="23">
        <v>0.54967993633335088</v>
      </c>
      <c r="D5" s="24">
        <v>0.35914440864496849</v>
      </c>
      <c r="E5" s="25">
        <v>625</v>
      </c>
      <c r="F5" s="22">
        <v>2.137226106026354</v>
      </c>
      <c r="G5" s="23">
        <v>1.9592884049183128</v>
      </c>
      <c r="H5" s="24">
        <v>0.91674362361272455</v>
      </c>
      <c r="I5" s="25">
        <v>338</v>
      </c>
      <c r="J5" s="22">
        <v>1.2999999999999976</v>
      </c>
      <c r="K5" s="23">
        <v>1.1445447041685632</v>
      </c>
      <c r="L5" s="24">
        <v>0.88041900320658872</v>
      </c>
      <c r="M5" s="25">
        <v>29</v>
      </c>
      <c r="N5" s="22">
        <v>1.8197106622014154</v>
      </c>
      <c r="O5" s="23">
        <v>1.5320993402209351</v>
      </c>
      <c r="P5" s="24">
        <v>0.84194667429571501</v>
      </c>
      <c r="Q5" s="25">
        <v>992</v>
      </c>
      <c r="R5" s="26"/>
      <c r="S5" s="26"/>
      <c r="T5" s="26"/>
    </row>
    <row r="6" spans="1:20" s="4" customFormat="1" ht="19.5" customHeight="1" x14ac:dyDescent="0.25">
      <c r="A6" s="27" t="s">
        <v>11</v>
      </c>
      <c r="B6" s="28">
        <v>2.1926935537614187</v>
      </c>
      <c r="C6" s="29">
        <v>0.68812303173782596</v>
      </c>
      <c r="D6" s="30">
        <v>0.31382544567497683</v>
      </c>
      <c r="E6" s="31">
        <v>63</v>
      </c>
      <c r="F6" s="28">
        <v>0.61839659610799858</v>
      </c>
      <c r="G6" s="29">
        <v>0.4871305809489368</v>
      </c>
      <c r="H6" s="30">
        <v>0.78773166607770739</v>
      </c>
      <c r="I6" s="31">
        <v>48</v>
      </c>
      <c r="J6" s="28" t="e">
        <v>#DIV/0!</v>
      </c>
      <c r="K6" s="29" t="e">
        <v>#DIV/0!</v>
      </c>
      <c r="L6" s="30" t="e">
        <v>#DIV/0!</v>
      </c>
      <c r="M6" s="31">
        <v>16</v>
      </c>
      <c r="N6" s="28">
        <v>1.2698601943963228</v>
      </c>
      <c r="O6" s="29">
        <v>0.49594980153613238</v>
      </c>
      <c r="P6" s="30">
        <v>0.3905546482397626</v>
      </c>
      <c r="Q6" s="31">
        <v>127</v>
      </c>
      <c r="R6" s="26"/>
      <c r="S6" s="26"/>
      <c r="T6" s="26"/>
    </row>
    <row r="7" spans="1:20" s="4" customFormat="1" ht="19.5" customHeight="1" x14ac:dyDescent="0.25">
      <c r="A7" s="27" t="s">
        <v>12</v>
      </c>
      <c r="B7" s="28">
        <v>0.76279867401359547</v>
      </c>
      <c r="C7" s="29">
        <v>0.58356606132589384</v>
      </c>
      <c r="D7" s="30">
        <v>0.76503287329455016</v>
      </c>
      <c r="E7" s="31">
        <v>108</v>
      </c>
      <c r="F7" s="28">
        <v>2.0650165990956526</v>
      </c>
      <c r="G7" s="29">
        <v>1.8844967634056851</v>
      </c>
      <c r="H7" s="30">
        <v>0.91258189606368112</v>
      </c>
      <c r="I7" s="31">
        <v>70</v>
      </c>
      <c r="J7" s="28" t="e">
        <v>#DIV/0!</v>
      </c>
      <c r="K7" s="29" t="e">
        <v>#DIV/0!</v>
      </c>
      <c r="L7" s="30" t="e">
        <v>#DIV/0!</v>
      </c>
      <c r="M7" s="31">
        <v>13</v>
      </c>
      <c r="N7" s="28">
        <v>1.0268992679685471</v>
      </c>
      <c r="O7" s="29">
        <v>0.73661310823184245</v>
      </c>
      <c r="P7" s="30">
        <v>0.71731778491676179</v>
      </c>
      <c r="Q7" s="31">
        <v>191</v>
      </c>
      <c r="R7" s="26"/>
      <c r="S7" s="26"/>
      <c r="T7" s="26"/>
    </row>
    <row r="8" spans="1:20" s="4" customFormat="1" ht="19.5" customHeight="1" x14ac:dyDescent="0.25">
      <c r="A8" s="27" t="s">
        <v>13</v>
      </c>
      <c r="B8" s="28">
        <v>3.1667581060845849</v>
      </c>
      <c r="C8" s="29">
        <v>1.5067772213052415</v>
      </c>
      <c r="D8" s="30">
        <v>0.47581064635474724</v>
      </c>
      <c r="E8" s="31">
        <v>790</v>
      </c>
      <c r="F8" s="28">
        <v>1.6381405304525662</v>
      </c>
      <c r="G8" s="29">
        <v>0.99301200595417505</v>
      </c>
      <c r="H8" s="30">
        <v>0.60618242909833708</v>
      </c>
      <c r="I8" s="31">
        <v>283</v>
      </c>
      <c r="J8" s="28">
        <v>1.2720539638010755</v>
      </c>
      <c r="K8" s="29">
        <v>1.0584175070126129</v>
      </c>
      <c r="L8" s="30">
        <v>0.83205393570718744</v>
      </c>
      <c r="M8" s="31">
        <v>32</v>
      </c>
      <c r="N8" s="28">
        <v>2.6025881435473948</v>
      </c>
      <c r="O8" s="29">
        <v>1.1017483671704227</v>
      </c>
      <c r="P8" s="30">
        <v>0.42332797446341675</v>
      </c>
      <c r="Q8" s="31">
        <v>1105</v>
      </c>
      <c r="R8" s="26"/>
      <c r="S8" s="26"/>
      <c r="T8" s="26"/>
    </row>
    <row r="9" spans="1:20" s="4" customFormat="1" ht="19.5" customHeight="1" x14ac:dyDescent="0.25">
      <c r="A9" s="27" t="s">
        <v>14</v>
      </c>
      <c r="B9" s="28">
        <v>2.6805554645972944</v>
      </c>
      <c r="C9" s="29">
        <v>1.7040362218968745</v>
      </c>
      <c r="D9" s="30">
        <v>0.63570265357403288</v>
      </c>
      <c r="E9" s="31">
        <v>344</v>
      </c>
      <c r="F9" s="28">
        <v>1.943702399235163</v>
      </c>
      <c r="G9" s="29">
        <v>1.6767542988900483</v>
      </c>
      <c r="H9" s="30">
        <v>0.86265999339705635</v>
      </c>
      <c r="I9" s="31">
        <v>126</v>
      </c>
      <c r="J9" s="28">
        <v>0.9000000000000008</v>
      </c>
      <c r="K9" s="29">
        <v>1.1379216178233162</v>
      </c>
      <c r="L9" s="30">
        <v>1.2643573531370169</v>
      </c>
      <c r="M9" s="31">
        <v>19</v>
      </c>
      <c r="N9" s="28">
        <v>2.41271987722287</v>
      </c>
      <c r="O9" s="29">
        <v>1.2672195839068534</v>
      </c>
      <c r="P9" s="30">
        <v>0.52522449699609142</v>
      </c>
      <c r="Q9" s="31">
        <v>489</v>
      </c>
      <c r="R9" s="26"/>
      <c r="S9" s="26"/>
      <c r="T9" s="26"/>
    </row>
    <row r="10" spans="1:20" s="4" customFormat="1" ht="19.5" customHeight="1" x14ac:dyDescent="0.25">
      <c r="A10" s="27" t="s">
        <v>15</v>
      </c>
      <c r="B10" s="28">
        <v>1.2979922786270934</v>
      </c>
      <c r="C10" s="29">
        <v>0.56915397459284733</v>
      </c>
      <c r="D10" s="30">
        <v>0.43848795094131865</v>
      </c>
      <c r="E10" s="31">
        <v>221</v>
      </c>
      <c r="F10" s="28">
        <v>1.0470042761859624</v>
      </c>
      <c r="G10" s="29">
        <v>0.67016594927541817</v>
      </c>
      <c r="H10" s="30">
        <v>0.64007947676842869</v>
      </c>
      <c r="I10" s="31">
        <v>126</v>
      </c>
      <c r="J10" s="28">
        <v>1.2999999999999985</v>
      </c>
      <c r="K10" s="29">
        <v>1.6596678719054345</v>
      </c>
      <c r="L10" s="30">
        <v>1.2766675937734127</v>
      </c>
      <c r="M10" s="31">
        <v>10</v>
      </c>
      <c r="N10" s="28">
        <v>1.1318240364188226</v>
      </c>
      <c r="O10" s="29">
        <v>0.48338238705902503</v>
      </c>
      <c r="P10" s="30">
        <v>0.42708263078462594</v>
      </c>
      <c r="Q10" s="31">
        <v>357</v>
      </c>
      <c r="R10" s="26"/>
      <c r="S10" s="26"/>
      <c r="T10" s="26"/>
    </row>
    <row r="11" spans="1:20" s="4" customFormat="1" ht="19.5" customHeight="1" x14ac:dyDescent="0.25">
      <c r="A11" s="27" t="s">
        <v>16</v>
      </c>
      <c r="B11" s="28">
        <v>2.30275345529492</v>
      </c>
      <c r="C11" s="29">
        <v>1.4057201036500917</v>
      </c>
      <c r="D11" s="30">
        <v>0.6104518485979461</v>
      </c>
      <c r="E11" s="31">
        <v>221</v>
      </c>
      <c r="F11" s="28">
        <v>2.775181393543352</v>
      </c>
      <c r="G11" s="29">
        <v>2.7016609623093188</v>
      </c>
      <c r="H11" s="30">
        <v>0.97350788261802146</v>
      </c>
      <c r="I11" s="31">
        <v>114</v>
      </c>
      <c r="J11" s="28" t="e">
        <v>#DIV/0!</v>
      </c>
      <c r="K11" s="29" t="e">
        <v>#DIV/0!</v>
      </c>
      <c r="L11" s="30" t="e">
        <v>#DIV/0!</v>
      </c>
      <c r="M11" s="31">
        <v>11</v>
      </c>
      <c r="N11" s="28">
        <v>2.6149950659003167</v>
      </c>
      <c r="O11" s="29">
        <v>1.7091126384571003</v>
      </c>
      <c r="P11" s="30">
        <v>0.65358159208176936</v>
      </c>
      <c r="Q11" s="31">
        <v>346</v>
      </c>
      <c r="R11" s="26"/>
      <c r="S11" s="26"/>
      <c r="T11" s="26"/>
    </row>
    <row r="12" spans="1:20" s="4" customFormat="1" ht="19.5" customHeight="1" x14ac:dyDescent="0.25">
      <c r="A12" s="27" t="s">
        <v>17</v>
      </c>
      <c r="B12" s="28">
        <v>3.8378382227447112</v>
      </c>
      <c r="C12" s="29">
        <v>1.6750605824107263</v>
      </c>
      <c r="D12" s="30">
        <v>0.43645940375589132</v>
      </c>
      <c r="E12" s="31">
        <v>490</v>
      </c>
      <c r="F12" s="28">
        <v>2.0496140302996673</v>
      </c>
      <c r="G12" s="29">
        <v>1.2388293746989822</v>
      </c>
      <c r="H12" s="30">
        <v>0.6044208111308923</v>
      </c>
      <c r="I12" s="31">
        <v>493</v>
      </c>
      <c r="J12" s="28">
        <v>1.0678933657436456</v>
      </c>
      <c r="K12" s="29">
        <v>0.79398392354138436</v>
      </c>
      <c r="L12" s="30">
        <v>0.7435048751225084</v>
      </c>
      <c r="M12" s="31">
        <v>64</v>
      </c>
      <c r="N12" s="28">
        <v>2.8298384220846464</v>
      </c>
      <c r="O12" s="29">
        <v>0.99955726916906373</v>
      </c>
      <c r="P12" s="30">
        <v>0.3532206154840189</v>
      </c>
      <c r="Q12" s="31">
        <v>1047</v>
      </c>
      <c r="R12" s="26"/>
      <c r="S12" s="26"/>
      <c r="T12" s="26"/>
    </row>
    <row r="13" spans="1:20" s="4" customFormat="1" ht="19.5" customHeight="1" x14ac:dyDescent="0.25">
      <c r="A13" s="27" t="s">
        <v>18</v>
      </c>
      <c r="B13" s="28">
        <v>7.0144665793872699E-2</v>
      </c>
      <c r="C13" s="29">
        <v>4.8355756353478399E-2</v>
      </c>
      <c r="D13" s="30">
        <v>0.68937182615677084</v>
      </c>
      <c r="E13" s="31">
        <v>100</v>
      </c>
      <c r="F13" s="28">
        <v>2.3544151131493249</v>
      </c>
      <c r="G13" s="29">
        <v>1.8370851332957896</v>
      </c>
      <c r="H13" s="30">
        <v>0.78027240100343154</v>
      </c>
      <c r="I13" s="31">
        <v>117</v>
      </c>
      <c r="J13" s="28">
        <v>0.89999999999999936</v>
      </c>
      <c r="K13" s="29">
        <v>0.89145377247104174</v>
      </c>
      <c r="L13" s="30">
        <v>0.99050419163449155</v>
      </c>
      <c r="M13" s="31">
        <v>14</v>
      </c>
      <c r="N13" s="28">
        <v>1.1354907594254517</v>
      </c>
      <c r="O13" s="29">
        <v>0.90885689657609048</v>
      </c>
      <c r="P13" s="30">
        <v>0.80040888843160996</v>
      </c>
      <c r="Q13" s="31">
        <v>231</v>
      </c>
      <c r="R13" s="26"/>
      <c r="S13" s="26"/>
      <c r="T13" s="26"/>
    </row>
    <row r="14" spans="1:20" s="4" customFormat="1" ht="19.5" customHeight="1" x14ac:dyDescent="0.25">
      <c r="A14" s="27" t="s">
        <v>19</v>
      </c>
      <c r="B14" s="32" t="e">
        <v>#DIV/0!</v>
      </c>
      <c r="C14" s="33" t="e">
        <v>#DIV/0!</v>
      </c>
      <c r="D14" s="30" t="e">
        <v>#DIV/0!</v>
      </c>
      <c r="E14" s="31">
        <v>26</v>
      </c>
      <c r="F14" s="32">
        <v>0</v>
      </c>
      <c r="G14" s="33" t="e">
        <v>#DIV/0!</v>
      </c>
      <c r="H14" s="30" t="e">
        <v>#DIV/0!</v>
      </c>
      <c r="I14" s="31">
        <v>24</v>
      </c>
      <c r="J14" s="32" t="e">
        <v>#DIV/0!</v>
      </c>
      <c r="K14" s="33" t="e">
        <v>#DIV/0!</v>
      </c>
      <c r="L14" s="30" t="e">
        <v>#DIV/0!</v>
      </c>
      <c r="M14" s="31">
        <v>1</v>
      </c>
      <c r="N14" s="32">
        <v>0</v>
      </c>
      <c r="O14" s="33" t="e">
        <v>#DIV/0!</v>
      </c>
      <c r="P14" s="30" t="e">
        <v>#DIV/0!</v>
      </c>
      <c r="Q14" s="31">
        <v>51</v>
      </c>
      <c r="R14" s="26"/>
      <c r="S14" s="26"/>
      <c r="T14" s="26"/>
    </row>
    <row r="15" spans="1:20" s="4" customFormat="1" ht="19.5" customHeight="1" thickBot="1" x14ac:dyDescent="0.3">
      <c r="A15" s="27" t="s">
        <v>20</v>
      </c>
      <c r="B15" s="32">
        <v>5.000000000000008</v>
      </c>
      <c r="C15" s="34">
        <v>4.7378317069824858</v>
      </c>
      <c r="D15" s="30">
        <v>0.94756634139649565</v>
      </c>
      <c r="E15" s="31">
        <v>15</v>
      </c>
      <c r="F15" s="32">
        <v>0</v>
      </c>
      <c r="G15" s="34" t="e">
        <v>#DIV/0!</v>
      </c>
      <c r="H15" s="30" t="e">
        <v>#DIV/0!</v>
      </c>
      <c r="I15" s="31">
        <v>8</v>
      </c>
      <c r="J15" s="32" t="e">
        <v>#DIV/0!</v>
      </c>
      <c r="K15" s="34" t="e">
        <v>#DIV/0!</v>
      </c>
      <c r="L15" s="30" t="e">
        <v>#DIV/0!</v>
      </c>
      <c r="M15" s="31">
        <v>1</v>
      </c>
      <c r="N15" s="32">
        <v>4.7267478797410707</v>
      </c>
      <c r="O15" s="34">
        <v>5.1168892703142586</v>
      </c>
      <c r="P15" s="30">
        <v>1.0825390734812281</v>
      </c>
      <c r="Q15" s="31">
        <v>24</v>
      </c>
      <c r="R15" s="26"/>
      <c r="S15" s="26"/>
      <c r="T15" s="26"/>
    </row>
    <row r="16" spans="1:20" s="4" customFormat="1" ht="24.75" customHeight="1" thickTop="1" x14ac:dyDescent="0.25">
      <c r="A16" s="35" t="s">
        <v>4</v>
      </c>
      <c r="B16" s="36">
        <v>1.8073483071582161</v>
      </c>
      <c r="C16" s="37">
        <v>0.53769860037498718</v>
      </c>
      <c r="D16" s="38">
        <v>0.29750690458799139</v>
      </c>
      <c r="E16" s="39">
        <v>3003</v>
      </c>
      <c r="F16" s="36">
        <v>2.0124079628481617</v>
      </c>
      <c r="G16" s="37">
        <v>0.88443857693105943</v>
      </c>
      <c r="H16" s="38">
        <v>0.43949268401786346</v>
      </c>
      <c r="I16" s="39">
        <v>1747</v>
      </c>
      <c r="J16" s="36">
        <v>1.1179112327253671</v>
      </c>
      <c r="K16" s="37">
        <v>0.5288444604021908</v>
      </c>
      <c r="L16" s="38">
        <v>0.47306480597114636</v>
      </c>
      <c r="M16" s="39">
        <v>210</v>
      </c>
      <c r="N16" s="36">
        <v>1.9004039612037877</v>
      </c>
      <c r="O16" s="37">
        <v>0.53243555503632189</v>
      </c>
      <c r="P16" s="38">
        <v>0.28016967229380907</v>
      </c>
      <c r="Q16" s="39">
        <v>4960</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17" t="s">
        <v>120</v>
      </c>
      <c r="C18" s="18" t="s">
        <v>109</v>
      </c>
      <c r="D18" s="18" t="s">
        <v>8</v>
      </c>
      <c r="E18" s="19" t="s">
        <v>9</v>
      </c>
      <c r="F18" s="17" t="s">
        <v>120</v>
      </c>
      <c r="G18" s="18" t="s">
        <v>109</v>
      </c>
      <c r="H18" s="18" t="s">
        <v>8</v>
      </c>
      <c r="I18" s="19" t="s">
        <v>9</v>
      </c>
      <c r="J18" s="17" t="s">
        <v>120</v>
      </c>
      <c r="K18" s="18" t="s">
        <v>109</v>
      </c>
      <c r="L18" s="18" t="s">
        <v>8</v>
      </c>
      <c r="M18" s="20" t="s">
        <v>9</v>
      </c>
      <c r="N18" s="17" t="s">
        <v>120</v>
      </c>
      <c r="O18" s="18" t="s">
        <v>109</v>
      </c>
      <c r="P18" s="18" t="s">
        <v>8</v>
      </c>
      <c r="Q18" s="19" t="s">
        <v>9</v>
      </c>
    </row>
    <row r="19" spans="1:20" s="4" customFormat="1" ht="19.5" customHeight="1" x14ac:dyDescent="0.25">
      <c r="A19" s="50" t="s">
        <v>22</v>
      </c>
      <c r="B19" s="22">
        <v>0.66337905739995218</v>
      </c>
      <c r="C19" s="23">
        <v>0.16497209548307315</v>
      </c>
      <c r="D19" s="24">
        <v>0.24868450947134926</v>
      </c>
      <c r="E19" s="25">
        <v>2472</v>
      </c>
      <c r="F19" s="22">
        <v>2.0322951531551201</v>
      </c>
      <c r="G19" s="23">
        <v>1.1501601383477287</v>
      </c>
      <c r="H19" s="24">
        <v>0.56594148569518321</v>
      </c>
      <c r="I19" s="25">
        <v>1222</v>
      </c>
      <c r="J19" s="22">
        <v>1.1316890075628869</v>
      </c>
      <c r="K19" s="23">
        <v>0.63745920604549489</v>
      </c>
      <c r="L19" s="24">
        <v>0.56328125641007598</v>
      </c>
      <c r="M19" s="25">
        <v>144</v>
      </c>
      <c r="N19" s="22">
        <v>1.4256846632530538</v>
      </c>
      <c r="O19" s="23">
        <v>0.6522016032510729</v>
      </c>
      <c r="P19" s="24">
        <v>0.45746553923285738</v>
      </c>
      <c r="Q19" s="25">
        <v>3838</v>
      </c>
      <c r="R19" s="26"/>
      <c r="S19" s="26"/>
      <c r="T19" s="26"/>
    </row>
    <row r="20" spans="1:20" s="4" customFormat="1" ht="19.5" customHeight="1" thickBot="1" x14ac:dyDescent="0.3">
      <c r="A20" s="51" t="s">
        <v>23</v>
      </c>
      <c r="B20" s="28">
        <v>3.998210867828905</v>
      </c>
      <c r="C20" s="29">
        <v>1.618080506625609</v>
      </c>
      <c r="D20" s="30">
        <v>0.40470114261488505</v>
      </c>
      <c r="E20" s="31">
        <v>531</v>
      </c>
      <c r="F20" s="28">
        <v>2.0113300461786885</v>
      </c>
      <c r="G20" s="29">
        <v>1.2315830753378558</v>
      </c>
      <c r="H20" s="30">
        <v>0.61232271534834959</v>
      </c>
      <c r="I20" s="31">
        <v>525</v>
      </c>
      <c r="J20" s="28">
        <v>1.0678933657436462</v>
      </c>
      <c r="K20" s="29">
        <v>0.78505037244969411</v>
      </c>
      <c r="L20" s="30">
        <v>0.73513929164922809</v>
      </c>
      <c r="M20" s="31">
        <v>66</v>
      </c>
      <c r="N20" s="28">
        <v>2.9461899361016832</v>
      </c>
      <c r="O20" s="29">
        <v>0.98819992233994902</v>
      </c>
      <c r="P20" s="30">
        <v>0.33541623037634422</v>
      </c>
      <c r="Q20" s="31">
        <v>1122</v>
      </c>
      <c r="R20" s="26"/>
      <c r="S20" s="26"/>
      <c r="T20" s="26"/>
    </row>
    <row r="21" spans="1:20" s="4" customFormat="1" ht="24.75" customHeight="1" thickTop="1" x14ac:dyDescent="0.25">
      <c r="A21" s="35" t="s">
        <v>4</v>
      </c>
      <c r="B21" s="36">
        <v>1.8073483071582161</v>
      </c>
      <c r="C21" s="37">
        <v>0.53769860037498718</v>
      </c>
      <c r="D21" s="38">
        <v>0.29750690458799139</v>
      </c>
      <c r="E21" s="39">
        <v>3003</v>
      </c>
      <c r="F21" s="36">
        <v>2.0124079628481617</v>
      </c>
      <c r="G21" s="37">
        <v>0.88443857693105943</v>
      </c>
      <c r="H21" s="38">
        <v>0.43949268401786346</v>
      </c>
      <c r="I21" s="39">
        <v>1747</v>
      </c>
      <c r="J21" s="36">
        <v>1.1179112327253671</v>
      </c>
      <c r="K21" s="37">
        <v>0.5288444604021908</v>
      </c>
      <c r="L21" s="38">
        <v>0.47306480597114636</v>
      </c>
      <c r="M21" s="39">
        <v>210</v>
      </c>
      <c r="N21" s="36">
        <v>1.9004039612037877</v>
      </c>
      <c r="O21" s="37">
        <v>0.53243555503632189</v>
      </c>
      <c r="P21" s="38">
        <v>0.28016967229380907</v>
      </c>
      <c r="Q21" s="39">
        <v>4960</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115</v>
      </c>
      <c r="B23" s="44" t="s">
        <v>26</v>
      </c>
      <c r="C23" s="4" t="s">
        <v>110</v>
      </c>
    </row>
    <row r="24" spans="1:20" s="4" customFormat="1" x14ac:dyDescent="0.25">
      <c r="A24" s="40"/>
      <c r="B24" s="45" t="s">
        <v>26</v>
      </c>
      <c r="C24" s="4" t="s">
        <v>29</v>
      </c>
    </row>
    <row r="25" spans="1:20" x14ac:dyDescent="0.25">
      <c r="A25" s="154" t="s">
        <v>240</v>
      </c>
    </row>
  </sheetData>
  <mergeCells count="2">
    <mergeCell ref="N2:Q2"/>
    <mergeCell ref="N3:Q3"/>
  </mergeCells>
  <conditionalFormatting sqref="M5:M15">
    <cfRule type="expression" dxfId="373" priority="32">
      <formula>M5&lt;=1</formula>
    </cfRule>
  </conditionalFormatting>
  <conditionalFormatting sqref="I5:I15">
    <cfRule type="expression" dxfId="372" priority="31">
      <formula>I5&lt;=1</formula>
    </cfRule>
  </conditionalFormatting>
  <conditionalFormatting sqref="E5:E15">
    <cfRule type="expression" dxfId="371" priority="30">
      <formula>E5&lt;=1</formula>
    </cfRule>
  </conditionalFormatting>
  <conditionalFormatting sqref="D5:D15 D19:D20 H19:H20 L19:L20 P19:P20">
    <cfRule type="expression" dxfId="370" priority="26">
      <formula>OR(D5&gt;=0.5,E5&lt;=5)</formula>
    </cfRule>
    <cfRule type="expression" dxfId="369" priority="29">
      <formula>E5&lt;=1</formula>
    </cfRule>
  </conditionalFormatting>
  <conditionalFormatting sqref="Q5:Q15">
    <cfRule type="expression" dxfId="368" priority="23">
      <formula>Q5&lt;=1</formula>
    </cfRule>
  </conditionalFormatting>
  <conditionalFormatting sqref="B5:B16 B19:B21 F19:F21 J19:J21 N19:N21">
    <cfRule type="expression" dxfId="367" priority="24">
      <formula>OR(D5&gt;=0.5,E5&lt;=5)</formula>
    </cfRule>
    <cfRule type="expression" dxfId="366" priority="27">
      <formula>E5&lt;=1</formula>
    </cfRule>
  </conditionalFormatting>
  <conditionalFormatting sqref="C5:C16 C19:C21 G19:G21 K19:K21 O19:O21">
    <cfRule type="expression" dxfId="365" priority="25">
      <formula>OR(D5&gt;=0.5,E5&lt;=5)</formula>
    </cfRule>
    <cfRule type="expression" dxfId="364" priority="28">
      <formula>E5&lt;=1</formula>
    </cfRule>
  </conditionalFormatting>
  <conditionalFormatting sqref="F5:F16">
    <cfRule type="expression" dxfId="363" priority="21">
      <formula>OR(H5&gt;=0.5,I5&lt;=5)</formula>
    </cfRule>
    <cfRule type="expression" dxfId="362" priority="22">
      <formula>I5&lt;=1</formula>
    </cfRule>
  </conditionalFormatting>
  <conditionalFormatting sqref="J5:J16">
    <cfRule type="expression" dxfId="361" priority="19">
      <formula>OR(L5&gt;=0.5,M5&lt;=5)</formula>
    </cfRule>
    <cfRule type="expression" dxfId="360" priority="20">
      <formula>M5&lt;=1</formula>
    </cfRule>
  </conditionalFormatting>
  <conditionalFormatting sqref="N5:N16">
    <cfRule type="expression" dxfId="359" priority="17">
      <formula>OR(P5&gt;=0.5,Q5&lt;=5)</formula>
    </cfRule>
    <cfRule type="expression" dxfId="358" priority="18">
      <formula>Q5&lt;=1</formula>
    </cfRule>
  </conditionalFormatting>
  <conditionalFormatting sqref="H5:H15">
    <cfRule type="expression" dxfId="357" priority="14">
      <formula>OR(H5&gt;=0.5,I5&lt;=5)</formula>
    </cfRule>
    <cfRule type="expression" dxfId="356" priority="16">
      <formula>I5&lt;=1</formula>
    </cfRule>
  </conditionalFormatting>
  <conditionalFormatting sqref="G5:G16">
    <cfRule type="expression" dxfId="355" priority="13">
      <formula>OR(H5&gt;=0.5,I5&lt;=5)</formula>
    </cfRule>
    <cfRule type="expression" dxfId="354" priority="15">
      <formula>I5&lt;=1</formula>
    </cfRule>
  </conditionalFormatting>
  <conditionalFormatting sqref="L5:L15">
    <cfRule type="expression" dxfId="353" priority="10">
      <formula>OR(L5&gt;=0.5,M5&lt;=5)</formula>
    </cfRule>
    <cfRule type="expression" dxfId="352" priority="12">
      <formula>M5&lt;=1</formula>
    </cfRule>
  </conditionalFormatting>
  <conditionalFormatting sqref="K5:K16">
    <cfRule type="expression" dxfId="351" priority="9">
      <formula>OR(L5&gt;=0.5,M5&lt;=5)</formula>
    </cfRule>
    <cfRule type="expression" dxfId="350" priority="11">
      <formula>M5&lt;=1</formula>
    </cfRule>
  </conditionalFormatting>
  <conditionalFormatting sqref="P5:P15">
    <cfRule type="expression" dxfId="349" priority="6">
      <formula>OR(P5&gt;=0.5,Q5&lt;=5)</formula>
    </cfRule>
    <cfRule type="expression" dxfId="348" priority="8">
      <formula>Q5&lt;=1</formula>
    </cfRule>
  </conditionalFormatting>
  <conditionalFormatting sqref="O5:O16">
    <cfRule type="expression" dxfId="347" priority="5">
      <formula>OR(P5&gt;=0.5,Q5&lt;=5)</formula>
    </cfRule>
    <cfRule type="expression" dxfId="346" priority="7">
      <formula>Q5&lt;=1</formula>
    </cfRule>
  </conditionalFormatting>
  <conditionalFormatting sqref="M19:M20">
    <cfRule type="expression" dxfId="345" priority="4">
      <formula>M19&lt;=1</formula>
    </cfRule>
  </conditionalFormatting>
  <conditionalFormatting sqref="I19:I20">
    <cfRule type="expression" dxfId="344" priority="3">
      <formula>I19&lt;=1</formula>
    </cfRule>
  </conditionalFormatting>
  <conditionalFormatting sqref="E19:E20">
    <cfRule type="expression" dxfId="343" priority="2">
      <formula>E19&lt;=1</formula>
    </cfRule>
  </conditionalFormatting>
  <conditionalFormatting sqref="Q19:Q20">
    <cfRule type="expression" dxfId="342" priority="1">
      <formula>Q19&lt;=1</formula>
    </cfRule>
  </conditionalFormatting>
  <hyperlinks>
    <hyperlink ref="A25" location="Überblick!A1" display="zurück zur Übersicht" xr:uid="{53078C57-E007-4AF4-8C62-B197F9E1E035}"/>
  </hyperlink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923AF-8684-433D-86EF-EC0B5F983B70}">
  <dimension ref="A1:T25"/>
  <sheetViews>
    <sheetView workbookViewId="0">
      <selection activeCell="A25" sqref="A25"/>
    </sheetView>
  </sheetViews>
  <sheetFormatPr baseColWidth="10" defaultRowHeight="15" x14ac:dyDescent="0.25"/>
  <cols>
    <col min="1" max="1" width="69" customWidth="1"/>
  </cols>
  <sheetData>
    <row r="1" spans="1:20" s="4" customFormat="1" ht="36.75" customHeight="1" x14ac:dyDescent="0.25">
      <c r="A1" s="1" t="s">
        <v>216</v>
      </c>
      <c r="B1" s="2"/>
      <c r="C1" s="2"/>
      <c r="D1" s="2"/>
      <c r="E1" s="2"/>
      <c r="F1" s="2"/>
      <c r="G1" s="2"/>
      <c r="H1" s="2"/>
      <c r="I1" s="2"/>
      <c r="J1" s="2"/>
      <c r="K1" s="2"/>
      <c r="L1" s="2"/>
      <c r="M1" s="2"/>
      <c r="N1" s="2"/>
      <c r="O1" s="2"/>
      <c r="P1" s="2"/>
      <c r="Q1" s="3"/>
    </row>
    <row r="2" spans="1:20" s="4" customFormat="1" ht="36.75" customHeight="1" x14ac:dyDescent="0.25">
      <c r="A2" s="86" t="s">
        <v>122</v>
      </c>
      <c r="B2" s="6" t="s">
        <v>0</v>
      </c>
      <c r="C2" s="7"/>
      <c r="D2" s="7"/>
      <c r="E2" s="7"/>
      <c r="F2" s="7"/>
      <c r="G2" s="7"/>
      <c r="H2" s="7"/>
      <c r="I2" s="7"/>
      <c r="J2" s="7"/>
      <c r="K2" s="7"/>
      <c r="L2" s="7"/>
      <c r="M2" s="8"/>
      <c r="N2" s="170"/>
      <c r="O2" s="171"/>
      <c r="P2" s="171"/>
      <c r="Q2" s="172"/>
    </row>
    <row r="3" spans="1:20" s="4" customFormat="1" ht="50.25" customHeight="1" x14ac:dyDescent="0.25">
      <c r="A3" s="52" t="s">
        <v>215</v>
      </c>
      <c r="B3" s="11" t="s">
        <v>1</v>
      </c>
      <c r="C3" s="12"/>
      <c r="D3" s="12"/>
      <c r="E3" s="13"/>
      <c r="F3" s="11" t="s">
        <v>33</v>
      </c>
      <c r="G3" s="12"/>
      <c r="H3" s="12"/>
      <c r="I3" s="13"/>
      <c r="J3" s="11" t="s">
        <v>3</v>
      </c>
      <c r="K3" s="12"/>
      <c r="L3" s="12"/>
      <c r="M3" s="14"/>
      <c r="N3" s="170" t="s">
        <v>4</v>
      </c>
      <c r="O3" s="171"/>
      <c r="P3" s="171"/>
      <c r="Q3" s="172"/>
    </row>
    <row r="4" spans="1:20" s="4" customFormat="1" ht="50.25" customHeight="1" x14ac:dyDescent="0.25">
      <c r="A4" s="5" t="s">
        <v>5</v>
      </c>
      <c r="B4" s="17" t="s">
        <v>123</v>
      </c>
      <c r="C4" s="18" t="s">
        <v>109</v>
      </c>
      <c r="D4" s="18" t="s">
        <v>8</v>
      </c>
      <c r="E4" s="19" t="s">
        <v>9</v>
      </c>
      <c r="F4" s="17" t="s">
        <v>123</v>
      </c>
      <c r="G4" s="18" t="s">
        <v>109</v>
      </c>
      <c r="H4" s="18" t="s">
        <v>8</v>
      </c>
      <c r="I4" s="19" t="s">
        <v>9</v>
      </c>
      <c r="J4" s="17" t="s">
        <v>123</v>
      </c>
      <c r="K4" s="18" t="s">
        <v>109</v>
      </c>
      <c r="L4" s="18" t="s">
        <v>8</v>
      </c>
      <c r="M4" s="20" t="s">
        <v>9</v>
      </c>
      <c r="N4" s="17" t="s">
        <v>123</v>
      </c>
      <c r="O4" s="18" t="s">
        <v>109</v>
      </c>
      <c r="P4" s="18" t="s">
        <v>8</v>
      </c>
      <c r="Q4" s="19" t="s">
        <v>9</v>
      </c>
    </row>
    <row r="5" spans="1:20" s="4" customFormat="1" ht="19.5" customHeight="1" x14ac:dyDescent="0.25">
      <c r="A5" s="21" t="s">
        <v>10</v>
      </c>
      <c r="B5" s="22">
        <v>1.0653488231892929</v>
      </c>
      <c r="C5" s="23">
        <v>0.37621077211811466</v>
      </c>
      <c r="D5" s="24">
        <v>0.35313388810236562</v>
      </c>
      <c r="E5" s="25">
        <v>448</v>
      </c>
      <c r="F5" s="22">
        <v>0.26946127372120793</v>
      </c>
      <c r="G5" s="23">
        <v>6.8234507476298348E-2</v>
      </c>
      <c r="H5" s="24">
        <v>0.2532256547814572</v>
      </c>
      <c r="I5" s="25">
        <v>202</v>
      </c>
      <c r="J5" s="22">
        <v>0.20624891995847672</v>
      </c>
      <c r="K5" s="23">
        <v>6.792464915508406E-2</v>
      </c>
      <c r="L5" s="24">
        <v>0.3293333568425913</v>
      </c>
      <c r="M5" s="25">
        <v>23</v>
      </c>
      <c r="N5" s="22">
        <v>0.8291882384300473</v>
      </c>
      <c r="O5" s="23">
        <v>0.27218615729056672</v>
      </c>
      <c r="P5" s="24">
        <v>0.32825617233297155</v>
      </c>
      <c r="Q5" s="25">
        <v>673</v>
      </c>
      <c r="R5" s="26"/>
      <c r="S5" s="26"/>
      <c r="T5" s="26"/>
    </row>
    <row r="6" spans="1:20" s="4" customFormat="1" ht="19.5" customHeight="1" x14ac:dyDescent="0.25">
      <c r="A6" s="27" t="s">
        <v>11</v>
      </c>
      <c r="B6" s="28">
        <v>0.81734157539853391</v>
      </c>
      <c r="C6" s="29">
        <v>0.27094747902551092</v>
      </c>
      <c r="D6" s="30">
        <v>0.33149846671313343</v>
      </c>
      <c r="E6" s="31">
        <v>44</v>
      </c>
      <c r="F6" s="28">
        <v>0.52875219934604434</v>
      </c>
      <c r="G6" s="29">
        <v>0.20331733550644956</v>
      </c>
      <c r="H6" s="30">
        <v>0.38452291216549173</v>
      </c>
      <c r="I6" s="31">
        <v>25</v>
      </c>
      <c r="J6" s="28">
        <v>0.22933063900831585</v>
      </c>
      <c r="K6" s="29">
        <v>2.8322629102744166E-2</v>
      </c>
      <c r="L6" s="30">
        <v>0.12350128715996447</v>
      </c>
      <c r="M6" s="31">
        <v>7</v>
      </c>
      <c r="N6" s="28">
        <v>0.76749024349592987</v>
      </c>
      <c r="O6" s="29">
        <v>0.17871436670101726</v>
      </c>
      <c r="P6" s="30">
        <v>0.23285555512337272</v>
      </c>
      <c r="Q6" s="31">
        <v>76</v>
      </c>
      <c r="R6" s="26"/>
      <c r="S6" s="26"/>
      <c r="T6" s="26"/>
    </row>
    <row r="7" spans="1:20" s="4" customFormat="1" ht="19.5" customHeight="1" x14ac:dyDescent="0.25">
      <c r="A7" s="27" t="s">
        <v>12</v>
      </c>
      <c r="B7" s="28">
        <v>0.70240704502445162</v>
      </c>
      <c r="C7" s="29">
        <v>0.18929903804815978</v>
      </c>
      <c r="D7" s="30">
        <v>0.26950048321564041</v>
      </c>
      <c r="E7" s="31">
        <v>70</v>
      </c>
      <c r="F7" s="28">
        <v>0.25286995954450586</v>
      </c>
      <c r="G7" s="29">
        <v>0.13799189805199083</v>
      </c>
      <c r="H7" s="30">
        <v>0.54570300996035814</v>
      </c>
      <c r="I7" s="31">
        <v>36</v>
      </c>
      <c r="J7" s="28">
        <v>0.14083909813383172</v>
      </c>
      <c r="K7" s="29">
        <v>4.4788903736408821E-2</v>
      </c>
      <c r="L7" s="30">
        <v>0.31801470138532389</v>
      </c>
      <c r="M7" s="31">
        <v>8</v>
      </c>
      <c r="N7" s="28">
        <v>0.49558699338723561</v>
      </c>
      <c r="O7" s="29">
        <v>0.14406561571369783</v>
      </c>
      <c r="P7" s="30">
        <v>0.29069692634392774</v>
      </c>
      <c r="Q7" s="31">
        <v>114</v>
      </c>
      <c r="R7" s="26"/>
      <c r="S7" s="26"/>
      <c r="T7" s="26"/>
    </row>
    <row r="8" spans="1:20" s="4" customFormat="1" ht="19.5" customHeight="1" x14ac:dyDescent="0.25">
      <c r="A8" s="27" t="s">
        <v>13</v>
      </c>
      <c r="B8" s="28">
        <v>0.78648236307219022</v>
      </c>
      <c r="C8" s="29">
        <v>8.6687738689644203E-2</v>
      </c>
      <c r="D8" s="30">
        <v>0.11022210129547082</v>
      </c>
      <c r="E8" s="31">
        <v>577</v>
      </c>
      <c r="F8" s="28">
        <v>0.43705736186938327</v>
      </c>
      <c r="G8" s="29">
        <v>0.13806575522794876</v>
      </c>
      <c r="H8" s="30">
        <v>0.31589847757606332</v>
      </c>
      <c r="I8" s="31">
        <v>160</v>
      </c>
      <c r="J8" s="28">
        <v>0.1822881666295704</v>
      </c>
      <c r="K8" s="29">
        <v>8.74419603065653E-2</v>
      </c>
      <c r="L8" s="30">
        <v>0.4796908209859666</v>
      </c>
      <c r="M8" s="31">
        <v>20</v>
      </c>
      <c r="N8" s="28">
        <v>0.65711136237512069</v>
      </c>
      <c r="O8" s="29">
        <v>0.12883837636816872</v>
      </c>
      <c r="P8" s="30">
        <v>0.19606779572717178</v>
      </c>
      <c r="Q8" s="31">
        <v>757</v>
      </c>
      <c r="R8" s="26"/>
      <c r="S8" s="26"/>
      <c r="T8" s="26"/>
    </row>
    <row r="9" spans="1:20" s="4" customFormat="1" ht="19.5" customHeight="1" x14ac:dyDescent="0.25">
      <c r="A9" s="27" t="s">
        <v>14</v>
      </c>
      <c r="B9" s="28">
        <v>0.99013133165485889</v>
      </c>
      <c r="C9" s="29">
        <v>0.15097602240782648</v>
      </c>
      <c r="D9" s="30">
        <v>0.15248080490038859</v>
      </c>
      <c r="E9" s="31">
        <v>267</v>
      </c>
      <c r="F9" s="28">
        <v>0.44156314574472605</v>
      </c>
      <c r="G9" s="29">
        <v>0.22210760249511868</v>
      </c>
      <c r="H9" s="30">
        <v>0.50300303509369926</v>
      </c>
      <c r="I9" s="31">
        <v>78</v>
      </c>
      <c r="J9" s="28">
        <v>0.53709773791797621</v>
      </c>
      <c r="K9" s="29">
        <v>0.15714179521252702</v>
      </c>
      <c r="L9" s="30">
        <v>0.2925757904356045</v>
      </c>
      <c r="M9" s="31">
        <v>10</v>
      </c>
      <c r="N9" s="28">
        <v>0.798414667249293</v>
      </c>
      <c r="O9" s="29">
        <v>0.13812658837590167</v>
      </c>
      <c r="P9" s="30">
        <v>0.17300106578925573</v>
      </c>
      <c r="Q9" s="31">
        <v>355</v>
      </c>
      <c r="R9" s="26"/>
      <c r="S9" s="26"/>
      <c r="T9" s="26"/>
    </row>
    <row r="10" spans="1:20" s="4" customFormat="1" ht="19.5" customHeight="1" x14ac:dyDescent="0.25">
      <c r="A10" s="27" t="s">
        <v>15</v>
      </c>
      <c r="B10" s="28">
        <v>0.5737128776466266</v>
      </c>
      <c r="C10" s="29">
        <v>0.10675941816978687</v>
      </c>
      <c r="D10" s="30">
        <v>0.18608509993311392</v>
      </c>
      <c r="E10" s="31">
        <v>152</v>
      </c>
      <c r="F10" s="28">
        <v>0.56618729058231609</v>
      </c>
      <c r="G10" s="29">
        <v>9.2780394397381186E-2</v>
      </c>
      <c r="H10" s="30">
        <v>0.16386873379294295</v>
      </c>
      <c r="I10" s="31">
        <v>81</v>
      </c>
      <c r="J10" s="28">
        <v>0.98522431908980201</v>
      </c>
      <c r="K10" s="29">
        <v>0.27307250273940747</v>
      </c>
      <c r="L10" s="30">
        <v>0.27716784639632636</v>
      </c>
      <c r="M10" s="31">
        <v>3</v>
      </c>
      <c r="N10" s="28">
        <v>0.58855850336281268</v>
      </c>
      <c r="O10" s="29">
        <v>8.1193508192579505E-2</v>
      </c>
      <c r="P10" s="30">
        <v>0.13795316477235289</v>
      </c>
      <c r="Q10" s="31">
        <v>236</v>
      </c>
      <c r="R10" s="26"/>
      <c r="S10" s="26"/>
      <c r="T10" s="26"/>
    </row>
    <row r="11" spans="1:20" s="4" customFormat="1" ht="19.5" customHeight="1" x14ac:dyDescent="0.25">
      <c r="A11" s="27" t="s">
        <v>16</v>
      </c>
      <c r="B11" s="28">
        <v>0.82789648414597583</v>
      </c>
      <c r="C11" s="29">
        <v>0.12382088072906219</v>
      </c>
      <c r="D11" s="30">
        <v>0.14956082445112778</v>
      </c>
      <c r="E11" s="31">
        <v>173</v>
      </c>
      <c r="F11" s="28">
        <v>0.37184437596796366</v>
      </c>
      <c r="G11" s="29">
        <v>0.27148409916849398</v>
      </c>
      <c r="H11" s="30">
        <v>0.73010139917211969</v>
      </c>
      <c r="I11" s="31">
        <v>67</v>
      </c>
      <c r="J11" s="28">
        <v>0.25621260000360219</v>
      </c>
      <c r="K11" s="29">
        <v>7.2193417053378658E-2</v>
      </c>
      <c r="L11" s="30">
        <v>0.28177153290807583</v>
      </c>
      <c r="M11" s="31">
        <v>7</v>
      </c>
      <c r="N11" s="28">
        <v>0.71919325753161323</v>
      </c>
      <c r="O11" s="29">
        <v>0.12552028093421663</v>
      </c>
      <c r="P11" s="30">
        <v>0.17452927932753765</v>
      </c>
      <c r="Q11" s="31">
        <v>247</v>
      </c>
      <c r="R11" s="26"/>
      <c r="S11" s="26"/>
      <c r="T11" s="26"/>
    </row>
    <row r="12" spans="1:20" s="4" customFormat="1" ht="19.5" customHeight="1" x14ac:dyDescent="0.25">
      <c r="A12" s="27" t="s">
        <v>17</v>
      </c>
      <c r="B12" s="28">
        <v>1.0118474457279107</v>
      </c>
      <c r="C12" s="29">
        <v>0.23136050297373584</v>
      </c>
      <c r="D12" s="30">
        <v>0.22865156595547653</v>
      </c>
      <c r="E12" s="31">
        <v>392</v>
      </c>
      <c r="F12" s="28">
        <v>0.40715192848379655</v>
      </c>
      <c r="G12" s="29">
        <v>8.9466719822322766E-2</v>
      </c>
      <c r="H12" s="30">
        <v>0.21973792474836154</v>
      </c>
      <c r="I12" s="31">
        <v>353</v>
      </c>
      <c r="J12" s="28">
        <v>0.21751223238518949</v>
      </c>
      <c r="K12" s="29">
        <v>7.9596802134293348E-2</v>
      </c>
      <c r="L12" s="30">
        <v>0.36594172778906725</v>
      </c>
      <c r="M12" s="31">
        <v>53</v>
      </c>
      <c r="N12" s="28">
        <v>0.66930281687167326</v>
      </c>
      <c r="O12" s="29">
        <v>0.11544423655412216</v>
      </c>
      <c r="P12" s="30">
        <v>0.17248431299558761</v>
      </c>
      <c r="Q12" s="31">
        <v>798</v>
      </c>
      <c r="R12" s="26"/>
      <c r="S12" s="26"/>
      <c r="T12" s="26"/>
    </row>
    <row r="13" spans="1:20" s="4" customFormat="1" ht="19.5" customHeight="1" x14ac:dyDescent="0.25">
      <c r="A13" s="27" t="s">
        <v>18</v>
      </c>
      <c r="B13" s="28">
        <v>0.36640008784056122</v>
      </c>
      <c r="C13" s="29">
        <v>0.1057722559453268</v>
      </c>
      <c r="D13" s="30">
        <v>0.28867966863412309</v>
      </c>
      <c r="E13" s="31">
        <v>78</v>
      </c>
      <c r="F13" s="28">
        <v>0.50009694058105869</v>
      </c>
      <c r="G13" s="29">
        <v>0.16070456729676497</v>
      </c>
      <c r="H13" s="30">
        <v>0.32134683149639665</v>
      </c>
      <c r="I13" s="31">
        <v>75</v>
      </c>
      <c r="J13" s="28">
        <v>0.11984451388307217</v>
      </c>
      <c r="K13" s="29">
        <v>3.1194846729254561E-2</v>
      </c>
      <c r="L13" s="30">
        <v>0.26029432402462921</v>
      </c>
      <c r="M13" s="31">
        <v>5</v>
      </c>
      <c r="N13" s="28">
        <v>0.41148664689187647</v>
      </c>
      <c r="O13" s="29">
        <v>8.8782348515617115E-2</v>
      </c>
      <c r="P13" s="30">
        <v>0.21575997468259486</v>
      </c>
      <c r="Q13" s="31">
        <v>158</v>
      </c>
      <c r="R13" s="26"/>
      <c r="S13" s="26"/>
      <c r="T13" s="26"/>
    </row>
    <row r="14" spans="1:20" s="4" customFormat="1" ht="19.5" customHeight="1" x14ac:dyDescent="0.25">
      <c r="A14" s="27" t="s">
        <v>19</v>
      </c>
      <c r="B14" s="32">
        <v>1.5097170220434486</v>
      </c>
      <c r="C14" s="33">
        <v>0.29222055968069288</v>
      </c>
      <c r="D14" s="30">
        <v>0.19355982307542863</v>
      </c>
      <c r="E14" s="31">
        <v>20</v>
      </c>
      <c r="F14" s="32">
        <v>0.36575376123407433</v>
      </c>
      <c r="G14" s="33">
        <v>5.2462882987214146E-2</v>
      </c>
      <c r="H14" s="30">
        <v>0.14343771287601076</v>
      </c>
      <c r="I14" s="31">
        <v>22</v>
      </c>
      <c r="J14" s="32">
        <v>0.23999999999999969</v>
      </c>
      <c r="K14" s="33">
        <v>8.1811005064120645E-2</v>
      </c>
      <c r="L14" s="30">
        <v>0.3408791877671698</v>
      </c>
      <c r="M14" s="31">
        <v>1</v>
      </c>
      <c r="N14" s="32">
        <v>0.58865902117103808</v>
      </c>
      <c r="O14" s="33">
        <v>0.1657659464609007</v>
      </c>
      <c r="P14" s="30">
        <v>0.28159926289949189</v>
      </c>
      <c r="Q14" s="31">
        <v>43</v>
      </c>
      <c r="R14" s="26"/>
      <c r="S14" s="26"/>
      <c r="T14" s="26"/>
    </row>
    <row r="15" spans="1:20" s="4" customFormat="1" ht="19.5" customHeight="1" thickBot="1" x14ac:dyDescent="0.3">
      <c r="A15" s="27" t="s">
        <v>20</v>
      </c>
      <c r="B15" s="32">
        <v>0.98079878067728798</v>
      </c>
      <c r="C15" s="34">
        <v>0.63030764973251452</v>
      </c>
      <c r="D15" s="30">
        <v>0.64264726073298872</v>
      </c>
      <c r="E15" s="31">
        <v>13</v>
      </c>
      <c r="F15" s="32">
        <v>0.60898373091192448</v>
      </c>
      <c r="G15" s="34">
        <v>6.0078313466338233E-2</v>
      </c>
      <c r="H15" s="30">
        <v>9.8653396497758297E-2</v>
      </c>
      <c r="I15" s="31">
        <v>7</v>
      </c>
      <c r="J15" s="32">
        <v>0.24000000000000007</v>
      </c>
      <c r="K15" s="34">
        <v>3.1683060260345459E-2</v>
      </c>
      <c r="L15" s="30">
        <v>0.1320127510847727</v>
      </c>
      <c r="M15" s="31">
        <v>1</v>
      </c>
      <c r="N15" s="32">
        <v>0.80520285554525828</v>
      </c>
      <c r="O15" s="34">
        <v>0.34234502321009946</v>
      </c>
      <c r="P15" s="30">
        <v>0.42516618123301869</v>
      </c>
      <c r="Q15" s="31">
        <v>21</v>
      </c>
      <c r="R15" s="26"/>
      <c r="S15" s="26"/>
      <c r="T15" s="26"/>
    </row>
    <row r="16" spans="1:20" s="4" customFormat="1" ht="24.75" customHeight="1" thickTop="1" x14ac:dyDescent="0.25">
      <c r="A16" s="35" t="s">
        <v>4</v>
      </c>
      <c r="B16" s="36">
        <v>0.77120280948850317</v>
      </c>
      <c r="C16" s="37">
        <v>9.0851430897556651E-2</v>
      </c>
      <c r="D16" s="38">
        <v>0.11780484948934958</v>
      </c>
      <c r="E16" s="39">
        <v>2234</v>
      </c>
      <c r="F16" s="36">
        <v>0.4109712023185737</v>
      </c>
      <c r="G16" s="37">
        <v>6.4832817601115048E-2</v>
      </c>
      <c r="H16" s="38">
        <v>0.15775513523903412</v>
      </c>
      <c r="I16" s="39">
        <v>1106</v>
      </c>
      <c r="J16" s="36">
        <v>0.2182123481850706</v>
      </c>
      <c r="K16" s="37">
        <v>5.4561977343427798E-2</v>
      </c>
      <c r="L16" s="38">
        <v>0.25004074149439337</v>
      </c>
      <c r="M16" s="39">
        <v>138</v>
      </c>
      <c r="N16" s="36">
        <v>0.61344457591405077</v>
      </c>
      <c r="O16" s="37">
        <v>6.2224954303360329E-2</v>
      </c>
      <c r="P16" s="38">
        <v>0.10143533213354</v>
      </c>
      <c r="Q16" s="39">
        <v>3478</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17" t="s">
        <v>123</v>
      </c>
      <c r="C18" s="18" t="s">
        <v>109</v>
      </c>
      <c r="D18" s="18" t="s">
        <v>8</v>
      </c>
      <c r="E18" s="19" t="s">
        <v>9</v>
      </c>
      <c r="F18" s="17" t="s">
        <v>123</v>
      </c>
      <c r="G18" s="18" t="s">
        <v>109</v>
      </c>
      <c r="H18" s="18" t="s">
        <v>8</v>
      </c>
      <c r="I18" s="19" t="s">
        <v>9</v>
      </c>
      <c r="J18" s="17" t="s">
        <v>123</v>
      </c>
      <c r="K18" s="18" t="s">
        <v>109</v>
      </c>
      <c r="L18" s="18" t="s">
        <v>8</v>
      </c>
      <c r="M18" s="20" t="s">
        <v>9</v>
      </c>
      <c r="N18" s="17" t="s">
        <v>123</v>
      </c>
      <c r="O18" s="18" t="s">
        <v>109</v>
      </c>
      <c r="P18" s="18" t="s">
        <v>8</v>
      </c>
      <c r="Q18" s="19" t="s">
        <v>9</v>
      </c>
    </row>
    <row r="19" spans="1:20" s="4" customFormat="1" ht="19.5" customHeight="1" x14ac:dyDescent="0.25">
      <c r="A19" s="50" t="s">
        <v>22</v>
      </c>
      <c r="B19" s="22">
        <v>0.63621045392131481</v>
      </c>
      <c r="C19" s="23">
        <v>9.3255295283254158E-2</v>
      </c>
      <c r="D19" s="24">
        <v>0.14657931932502916</v>
      </c>
      <c r="E19" s="25">
        <v>1809</v>
      </c>
      <c r="F19" s="22">
        <v>0.41480527181876203</v>
      </c>
      <c r="G19" s="23">
        <v>9.8783876869642406E-2</v>
      </c>
      <c r="H19" s="24">
        <v>0.23814518180184402</v>
      </c>
      <c r="I19" s="25">
        <v>724</v>
      </c>
      <c r="J19" s="22">
        <v>0.19588256000564958</v>
      </c>
      <c r="K19" s="23">
        <v>4.5879240143576472E-2</v>
      </c>
      <c r="L19" s="24">
        <v>0.23421809548666936</v>
      </c>
      <c r="M19" s="25">
        <v>83</v>
      </c>
      <c r="N19" s="22">
        <v>0.56437933845467725</v>
      </c>
      <c r="O19" s="23">
        <v>7.1769237944836958E-2</v>
      </c>
      <c r="P19" s="24">
        <v>0.12716489257269367</v>
      </c>
      <c r="Q19" s="25">
        <v>2616</v>
      </c>
      <c r="R19" s="26"/>
      <c r="S19" s="26"/>
      <c r="T19" s="26"/>
    </row>
    <row r="20" spans="1:20" s="4" customFormat="1" ht="19.5" customHeight="1" thickBot="1" x14ac:dyDescent="0.3">
      <c r="A20" s="51" t="s">
        <v>23</v>
      </c>
      <c r="B20" s="28">
        <v>1.0247064494228624</v>
      </c>
      <c r="C20" s="29">
        <v>0.22264433939054323</v>
      </c>
      <c r="D20" s="30">
        <v>0.21727621556001869</v>
      </c>
      <c r="E20" s="31">
        <v>425</v>
      </c>
      <c r="F20" s="28">
        <v>0.39385714953560708</v>
      </c>
      <c r="G20" s="29">
        <v>8.1436295338390877E-2</v>
      </c>
      <c r="H20" s="30">
        <v>0.20676607098388738</v>
      </c>
      <c r="I20" s="31">
        <v>382</v>
      </c>
      <c r="J20" s="28">
        <v>0.21727465353285705</v>
      </c>
      <c r="K20" s="29">
        <v>7.7687599011143568E-2</v>
      </c>
      <c r="L20" s="30">
        <v>0.35755481713100684</v>
      </c>
      <c r="M20" s="31">
        <v>55</v>
      </c>
      <c r="N20" s="28">
        <v>0.66554291641832164</v>
      </c>
      <c r="O20" s="29">
        <v>0.11036390150959702</v>
      </c>
      <c r="P20" s="30">
        <v>0.16582537171837117</v>
      </c>
      <c r="Q20" s="31">
        <v>862</v>
      </c>
      <c r="R20" s="26"/>
      <c r="S20" s="26"/>
      <c r="T20" s="26"/>
    </row>
    <row r="21" spans="1:20" s="4" customFormat="1" ht="24.75" customHeight="1" thickTop="1" x14ac:dyDescent="0.25">
      <c r="A21" s="35" t="s">
        <v>4</v>
      </c>
      <c r="B21" s="36">
        <v>0.77120280948850317</v>
      </c>
      <c r="C21" s="37">
        <v>9.0851430897556651E-2</v>
      </c>
      <c r="D21" s="38">
        <v>0.11780484948934958</v>
      </c>
      <c r="E21" s="39">
        <v>2234</v>
      </c>
      <c r="F21" s="36">
        <v>0.4109712023185737</v>
      </c>
      <c r="G21" s="37">
        <v>6.4832817601115048E-2</v>
      </c>
      <c r="H21" s="38">
        <v>0.15775513523903412</v>
      </c>
      <c r="I21" s="39">
        <v>1106</v>
      </c>
      <c r="J21" s="36">
        <v>0.2182123481850706</v>
      </c>
      <c r="K21" s="37">
        <v>5.4561977343427798E-2</v>
      </c>
      <c r="L21" s="38">
        <v>0.25004074149439337</v>
      </c>
      <c r="M21" s="39">
        <v>138</v>
      </c>
      <c r="N21" s="36">
        <v>0.61344457591405077</v>
      </c>
      <c r="O21" s="37">
        <v>6.2224954303360329E-2</v>
      </c>
      <c r="P21" s="38">
        <v>0.10143533213354</v>
      </c>
      <c r="Q21" s="39">
        <v>3478</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75</v>
      </c>
      <c r="B23" s="44" t="s">
        <v>26</v>
      </c>
      <c r="C23" s="4" t="s">
        <v>110</v>
      </c>
    </row>
    <row r="24" spans="1:20" s="4" customFormat="1" x14ac:dyDescent="0.25">
      <c r="A24" s="40"/>
      <c r="B24" s="45" t="s">
        <v>26</v>
      </c>
      <c r="C24" s="4" t="s">
        <v>29</v>
      </c>
    </row>
    <row r="25" spans="1:20" x14ac:dyDescent="0.25">
      <c r="A25" s="154" t="s">
        <v>240</v>
      </c>
    </row>
  </sheetData>
  <mergeCells count="2">
    <mergeCell ref="N2:Q2"/>
    <mergeCell ref="N3:Q3"/>
  </mergeCells>
  <conditionalFormatting sqref="M5:M15">
    <cfRule type="expression" dxfId="341" priority="32">
      <formula>M5&lt;=1</formula>
    </cfRule>
  </conditionalFormatting>
  <conditionalFormatting sqref="I5:I15">
    <cfRule type="expression" dxfId="340" priority="31">
      <formula>I5&lt;=1</formula>
    </cfRule>
  </conditionalFormatting>
  <conditionalFormatting sqref="E5:E15">
    <cfRule type="expression" dxfId="339" priority="30">
      <formula>E5&lt;=1</formula>
    </cfRule>
  </conditionalFormatting>
  <conditionalFormatting sqref="D5:D15 D19:D20 H19:H20 L19:L20 P19:P20">
    <cfRule type="expression" dxfId="338" priority="26">
      <formula>OR(D5&gt;=0.5,E5&lt;=5)</formula>
    </cfRule>
    <cfRule type="expression" dxfId="337" priority="29">
      <formula>E5&lt;=1</formula>
    </cfRule>
  </conditionalFormatting>
  <conditionalFormatting sqref="Q5:Q15">
    <cfRule type="expression" dxfId="336" priority="23">
      <formula>Q5&lt;=1</formula>
    </cfRule>
  </conditionalFormatting>
  <conditionalFormatting sqref="B5:B16 B19:B21 F19:F21 J19:J21 N19:N21">
    <cfRule type="expression" dxfId="335" priority="24">
      <formula>OR(D5&gt;=0.5,E5&lt;=5)</formula>
    </cfRule>
    <cfRule type="expression" dxfId="334" priority="27">
      <formula>E5&lt;=1</formula>
    </cfRule>
  </conditionalFormatting>
  <conditionalFormatting sqref="C5:C16 C19:C21 G19:G21 K19:K21 O19:O21">
    <cfRule type="expression" dxfId="333" priority="25">
      <formula>OR(D5&gt;=0.5,E5&lt;=5)</formula>
    </cfRule>
    <cfRule type="expression" dxfId="332" priority="28">
      <formula>E5&lt;=1</formula>
    </cfRule>
  </conditionalFormatting>
  <conditionalFormatting sqref="F5:F16">
    <cfRule type="expression" dxfId="331" priority="21">
      <formula>OR(H5&gt;=0.5,I5&lt;=5)</formula>
    </cfRule>
    <cfRule type="expression" dxfId="330" priority="22">
      <formula>I5&lt;=1</formula>
    </cfRule>
  </conditionalFormatting>
  <conditionalFormatting sqref="J5:J16">
    <cfRule type="expression" dxfId="329" priority="19">
      <formula>OR(L5&gt;=0.5,M5&lt;=5)</formula>
    </cfRule>
    <cfRule type="expression" dxfId="328" priority="20">
      <formula>M5&lt;=1</formula>
    </cfRule>
  </conditionalFormatting>
  <conditionalFormatting sqref="N5:N16">
    <cfRule type="expression" dxfId="327" priority="17">
      <formula>OR(P5&gt;=0.5,Q5&lt;=5)</formula>
    </cfRule>
    <cfRule type="expression" dxfId="326" priority="18">
      <formula>Q5&lt;=1</formula>
    </cfRule>
  </conditionalFormatting>
  <conditionalFormatting sqref="H5:H15">
    <cfRule type="expression" dxfId="325" priority="14">
      <formula>OR(H5&gt;=0.5,I5&lt;=5)</formula>
    </cfRule>
    <cfRule type="expression" dxfId="324" priority="16">
      <formula>I5&lt;=1</formula>
    </cfRule>
  </conditionalFormatting>
  <conditionalFormatting sqref="G5:G16">
    <cfRule type="expression" dxfId="323" priority="13">
      <formula>OR(H5&gt;=0.5,I5&lt;=5)</formula>
    </cfRule>
    <cfRule type="expression" dxfId="322" priority="15">
      <formula>I5&lt;=1</formula>
    </cfRule>
  </conditionalFormatting>
  <conditionalFormatting sqref="L5:L15">
    <cfRule type="expression" dxfId="321" priority="10">
      <formula>OR(L5&gt;=0.5,M5&lt;=5)</formula>
    </cfRule>
    <cfRule type="expression" dxfId="320" priority="12">
      <formula>M5&lt;=1</formula>
    </cfRule>
  </conditionalFormatting>
  <conditionalFormatting sqref="K5:K16">
    <cfRule type="expression" dxfId="319" priority="9">
      <formula>OR(L5&gt;=0.5,M5&lt;=5)</formula>
    </cfRule>
    <cfRule type="expression" dxfId="318" priority="11">
      <formula>M5&lt;=1</formula>
    </cfRule>
  </conditionalFormatting>
  <conditionalFormatting sqref="P5:P15">
    <cfRule type="expression" dxfId="317" priority="6">
      <formula>OR(P5&gt;=0.5,Q5&lt;=5)</formula>
    </cfRule>
    <cfRule type="expression" dxfId="316" priority="8">
      <formula>Q5&lt;=1</formula>
    </cfRule>
  </conditionalFormatting>
  <conditionalFormatting sqref="O5:O16">
    <cfRule type="expression" dxfId="315" priority="5">
      <formula>OR(P5&gt;=0.5,Q5&lt;=5)</formula>
    </cfRule>
    <cfRule type="expression" dxfId="314" priority="7">
      <formula>Q5&lt;=1</formula>
    </cfRule>
  </conditionalFormatting>
  <conditionalFormatting sqref="M19:M20">
    <cfRule type="expression" dxfId="313" priority="4">
      <formula>M19&lt;=1</formula>
    </cfRule>
  </conditionalFormatting>
  <conditionalFormatting sqref="I19:I20">
    <cfRule type="expression" dxfId="312" priority="3">
      <formula>I19&lt;=1</formula>
    </cfRule>
  </conditionalFormatting>
  <conditionalFormatting sqref="E19:E20">
    <cfRule type="expression" dxfId="311" priority="2">
      <formula>E19&lt;=1</formula>
    </cfRule>
  </conditionalFormatting>
  <conditionalFormatting sqref="Q19:Q20">
    <cfRule type="expression" dxfId="310" priority="1">
      <formula>Q19&lt;=1</formula>
    </cfRule>
  </conditionalFormatting>
  <hyperlinks>
    <hyperlink ref="A25" location="Überblick!A1" display="zurück zur Übersicht" xr:uid="{D80B14C7-3944-4B44-B849-37953137E192}"/>
  </hyperlinks>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3648C-9911-4480-8E65-50C4DECB3412}">
  <dimension ref="A1:T24"/>
  <sheetViews>
    <sheetView workbookViewId="0"/>
  </sheetViews>
  <sheetFormatPr baseColWidth="10" defaultRowHeight="15" x14ac:dyDescent="0.25"/>
  <cols>
    <col min="1" max="1" width="61.140625" customWidth="1"/>
  </cols>
  <sheetData>
    <row r="1" spans="1:20" s="4" customFormat="1" ht="36.75" customHeight="1" x14ac:dyDescent="0.25">
      <c r="A1" s="1" t="s">
        <v>267</v>
      </c>
      <c r="B1" s="2"/>
      <c r="C1" s="2"/>
      <c r="D1" s="2"/>
      <c r="E1" s="2"/>
      <c r="F1" s="2"/>
      <c r="G1" s="2"/>
      <c r="H1" s="2"/>
      <c r="I1" s="2"/>
      <c r="J1" s="2"/>
      <c r="K1" s="2"/>
      <c r="L1" s="2"/>
      <c r="M1" s="2"/>
      <c r="N1" s="2"/>
      <c r="O1" s="2"/>
      <c r="P1" s="2"/>
      <c r="Q1" s="3"/>
    </row>
    <row r="2" spans="1:20" s="4" customFormat="1" ht="36.75" customHeight="1" x14ac:dyDescent="0.25">
      <c r="A2" s="86" t="s">
        <v>268</v>
      </c>
      <c r="B2" s="6" t="s">
        <v>0</v>
      </c>
      <c r="C2" s="7"/>
      <c r="D2" s="7"/>
      <c r="E2" s="7"/>
      <c r="F2" s="7"/>
      <c r="G2" s="7"/>
      <c r="H2" s="7"/>
      <c r="I2" s="7"/>
      <c r="J2" s="7"/>
      <c r="K2" s="7"/>
      <c r="L2" s="7"/>
      <c r="M2" s="8"/>
      <c r="N2" s="9"/>
      <c r="O2" s="9"/>
      <c r="P2" s="7"/>
      <c r="Q2" s="10"/>
    </row>
    <row r="3" spans="1:20" s="4" customFormat="1" ht="50.25" customHeight="1" x14ac:dyDescent="0.25">
      <c r="A3" s="52" t="s">
        <v>269</v>
      </c>
      <c r="B3" s="11" t="s">
        <v>1</v>
      </c>
      <c r="C3" s="12"/>
      <c r="D3" s="12"/>
      <c r="E3" s="13"/>
      <c r="F3" s="11" t="s">
        <v>33</v>
      </c>
      <c r="G3" s="12"/>
      <c r="H3" s="12"/>
      <c r="I3" s="13"/>
      <c r="J3" s="11" t="s">
        <v>3</v>
      </c>
      <c r="K3" s="12"/>
      <c r="L3" s="12"/>
      <c r="M3" s="14"/>
      <c r="N3" s="15" t="s">
        <v>4</v>
      </c>
      <c r="O3" s="15"/>
      <c r="P3" s="12"/>
      <c r="Q3" s="16"/>
    </row>
    <row r="4" spans="1:20" s="4" customFormat="1" ht="50.25" customHeight="1" x14ac:dyDescent="0.25">
      <c r="A4" s="5" t="s">
        <v>5</v>
      </c>
      <c r="B4" s="17" t="s">
        <v>270</v>
      </c>
      <c r="C4" s="18" t="s">
        <v>271</v>
      </c>
      <c r="D4" s="18" t="s">
        <v>8</v>
      </c>
      <c r="E4" s="19" t="s">
        <v>9</v>
      </c>
      <c r="F4" s="17" t="s">
        <v>270</v>
      </c>
      <c r="G4" s="18" t="s">
        <v>271</v>
      </c>
      <c r="H4" s="18" t="s">
        <v>8</v>
      </c>
      <c r="I4" s="19" t="s">
        <v>9</v>
      </c>
      <c r="J4" s="17" t="s">
        <v>270</v>
      </c>
      <c r="K4" s="18" t="s">
        <v>271</v>
      </c>
      <c r="L4" s="18" t="s">
        <v>8</v>
      </c>
      <c r="M4" s="20" t="s">
        <v>9</v>
      </c>
      <c r="N4" s="17" t="s">
        <v>270</v>
      </c>
      <c r="O4" s="18" t="s">
        <v>271</v>
      </c>
      <c r="P4" s="18" t="s">
        <v>8</v>
      </c>
      <c r="Q4" s="19" t="s">
        <v>9</v>
      </c>
    </row>
    <row r="5" spans="1:20" s="4" customFormat="1" ht="19.5" customHeight="1" x14ac:dyDescent="0.25">
      <c r="A5" s="21" t="s">
        <v>10</v>
      </c>
      <c r="B5" s="22">
        <v>1.1575548137031</v>
      </c>
      <c r="C5" s="23">
        <v>5.2239239083279099E-2</v>
      </c>
      <c r="D5" s="24">
        <v>4.5128954987593256E-2</v>
      </c>
      <c r="E5" s="25">
        <v>323</v>
      </c>
      <c r="F5" s="22">
        <v>0.59994424829701198</v>
      </c>
      <c r="G5" s="23">
        <v>5.5694225014807398E-2</v>
      </c>
      <c r="H5" s="24">
        <v>9.2832334292560936E-2</v>
      </c>
      <c r="I5" s="25">
        <v>152</v>
      </c>
      <c r="J5" s="22">
        <v>0.29707353155824701</v>
      </c>
      <c r="K5" s="23">
        <v>1.45689292674513E-2</v>
      </c>
      <c r="L5" s="24">
        <v>4.9041492155267222E-2</v>
      </c>
      <c r="M5" s="25">
        <v>20</v>
      </c>
      <c r="N5" s="22">
        <v>0.95704850851920897</v>
      </c>
      <c r="O5" s="23">
        <v>5.57274241285204E-2</v>
      </c>
      <c r="P5" s="24">
        <v>5.8228421686529266E-2</v>
      </c>
      <c r="Q5" s="25">
        <v>495</v>
      </c>
      <c r="R5" s="26"/>
      <c r="S5" s="26"/>
      <c r="T5" s="26"/>
    </row>
    <row r="6" spans="1:20" s="4" customFormat="1" ht="19.5" customHeight="1" x14ac:dyDescent="0.25">
      <c r="A6" s="27" t="s">
        <v>11</v>
      </c>
      <c r="B6" s="28">
        <v>1.4357569468871101</v>
      </c>
      <c r="C6" s="29">
        <v>0.12949394619054599</v>
      </c>
      <c r="D6" s="30">
        <v>9.0192108400592524E-2</v>
      </c>
      <c r="E6" s="31">
        <v>28</v>
      </c>
      <c r="F6" s="28">
        <v>0.57929898122983903</v>
      </c>
      <c r="G6" s="29">
        <v>8.0898935098059205E-2</v>
      </c>
      <c r="H6" s="30">
        <v>0.13964971063182702</v>
      </c>
      <c r="I6" s="31">
        <v>23</v>
      </c>
      <c r="J6" s="28">
        <v>0.24976048261256301</v>
      </c>
      <c r="K6" s="29">
        <v>2.7919770772697999E-2</v>
      </c>
      <c r="L6" s="30">
        <v>0.11178618202787549</v>
      </c>
      <c r="M6" s="31">
        <v>6</v>
      </c>
      <c r="N6" s="28">
        <v>1.12511920184169</v>
      </c>
      <c r="O6" s="29">
        <v>0.25672123091010601</v>
      </c>
      <c r="P6" s="30">
        <v>0.22817247318318187</v>
      </c>
      <c r="Q6" s="31">
        <v>57</v>
      </c>
      <c r="R6" s="26"/>
      <c r="S6" s="26"/>
      <c r="T6" s="26"/>
    </row>
    <row r="7" spans="1:20" s="4" customFormat="1" ht="19.5" customHeight="1" x14ac:dyDescent="0.25">
      <c r="A7" s="27" t="s">
        <v>12</v>
      </c>
      <c r="B7" s="28">
        <v>1.3101205844088899</v>
      </c>
      <c r="C7" s="29">
        <v>8.8593117114141501E-2</v>
      </c>
      <c r="D7" s="30">
        <v>6.7622109116096063E-2</v>
      </c>
      <c r="E7" s="31">
        <v>49</v>
      </c>
      <c r="F7" s="28">
        <v>0.59130893300628196</v>
      </c>
      <c r="G7" s="29">
        <v>5.23213388590162E-2</v>
      </c>
      <c r="H7" s="30">
        <v>8.8483931052772288E-2</v>
      </c>
      <c r="I7" s="31">
        <v>31</v>
      </c>
      <c r="J7" s="28">
        <v>0.31342980674218501</v>
      </c>
      <c r="K7" s="29">
        <v>3.26477533683407E-2</v>
      </c>
      <c r="L7" s="30">
        <v>0.10416288644556213</v>
      </c>
      <c r="M7" s="31">
        <v>7</v>
      </c>
      <c r="N7" s="28">
        <v>0.85719603740607597</v>
      </c>
      <c r="O7" s="29">
        <v>0.14476348572758299</v>
      </c>
      <c r="P7" s="30">
        <v>0.16888025540300622</v>
      </c>
      <c r="Q7" s="31">
        <v>87</v>
      </c>
      <c r="R7" s="26"/>
      <c r="S7" s="26"/>
      <c r="T7" s="26"/>
    </row>
    <row r="8" spans="1:20" s="4" customFormat="1" ht="19.5" customHeight="1" x14ac:dyDescent="0.25">
      <c r="A8" s="27" t="s">
        <v>13</v>
      </c>
      <c r="B8" s="28">
        <v>1.12002176337529</v>
      </c>
      <c r="C8" s="29">
        <v>6.5871917385180195E-2</v>
      </c>
      <c r="D8" s="30">
        <v>5.8813069119897303E-2</v>
      </c>
      <c r="E8" s="31">
        <v>408</v>
      </c>
      <c r="F8" s="28">
        <v>0.70107017274422501</v>
      </c>
      <c r="G8" s="29">
        <v>2.0367707283835398E-2</v>
      </c>
      <c r="H8" s="30">
        <v>2.9052308992278654E-2</v>
      </c>
      <c r="I8" s="31">
        <v>141</v>
      </c>
      <c r="J8" s="28">
        <v>0.32629888856544798</v>
      </c>
      <c r="K8" s="29">
        <v>1.6149786376296101E-2</v>
      </c>
      <c r="L8" s="30">
        <v>4.9493844270501797E-2</v>
      </c>
      <c r="M8" s="31">
        <v>18</v>
      </c>
      <c r="N8" s="28">
        <v>0.87123713517604495</v>
      </c>
      <c r="O8" s="29">
        <v>6.7436747400805103E-2</v>
      </c>
      <c r="P8" s="30">
        <v>7.7403435503444903E-2</v>
      </c>
      <c r="Q8" s="31">
        <v>567</v>
      </c>
      <c r="R8" s="26"/>
      <c r="S8" s="26"/>
      <c r="T8" s="26"/>
    </row>
    <row r="9" spans="1:20" s="4" customFormat="1" ht="19.5" customHeight="1" x14ac:dyDescent="0.25">
      <c r="A9" s="27" t="s">
        <v>14</v>
      </c>
      <c r="B9" s="28">
        <v>1.1585974335832301</v>
      </c>
      <c r="C9" s="29">
        <v>7.8622503140004393E-2</v>
      </c>
      <c r="D9" s="30">
        <v>6.7860070168502054E-2</v>
      </c>
      <c r="E9" s="31">
        <v>195</v>
      </c>
      <c r="F9" s="28">
        <v>0.51963868826690796</v>
      </c>
      <c r="G9" s="29">
        <v>7.1252457501478503E-2</v>
      </c>
      <c r="H9" s="30">
        <v>0.13711923132420867</v>
      </c>
      <c r="I9" s="31">
        <v>63</v>
      </c>
      <c r="J9" s="28">
        <v>0.29879258130384201</v>
      </c>
      <c r="K9" s="29">
        <v>3.8962611565448203E-2</v>
      </c>
      <c r="L9" s="30">
        <v>0.13040019733899333</v>
      </c>
      <c r="M9" s="31">
        <v>9</v>
      </c>
      <c r="N9" s="28">
        <v>0.92674687714298798</v>
      </c>
      <c r="O9" s="29">
        <v>0.11434650628681201</v>
      </c>
      <c r="P9" s="30">
        <v>0.12338483042891274</v>
      </c>
      <c r="Q9" s="31">
        <v>267</v>
      </c>
      <c r="R9" s="26"/>
      <c r="S9" s="26"/>
      <c r="T9" s="26"/>
    </row>
    <row r="10" spans="1:20" s="4" customFormat="1" ht="19.5" customHeight="1" x14ac:dyDescent="0.25">
      <c r="A10" s="27" t="s">
        <v>15</v>
      </c>
      <c r="B10" s="28">
        <v>1.0630925499902699</v>
      </c>
      <c r="C10" s="29">
        <v>9.4678914759306398E-2</v>
      </c>
      <c r="D10" s="30">
        <v>8.9059898651507777E-2</v>
      </c>
      <c r="E10" s="31">
        <v>110</v>
      </c>
      <c r="F10" s="28">
        <v>0.65812749269577098</v>
      </c>
      <c r="G10" s="29">
        <v>5.52576239083803E-2</v>
      </c>
      <c r="H10" s="30">
        <v>8.3961883558515832E-2</v>
      </c>
      <c r="I10" s="31">
        <v>63</v>
      </c>
      <c r="J10" s="28">
        <v>0.39101146723418601</v>
      </c>
      <c r="K10" s="29">
        <v>9.1527410102110907E-2</v>
      </c>
      <c r="L10" s="30">
        <v>0.2340785827830798</v>
      </c>
      <c r="M10" s="31">
        <v>3</v>
      </c>
      <c r="N10" s="28">
        <v>0.92725738891139697</v>
      </c>
      <c r="O10" s="29">
        <v>7.6044843349171304E-2</v>
      </c>
      <c r="P10" s="30">
        <v>8.2010501354373877E-2</v>
      </c>
      <c r="Q10" s="31">
        <v>176</v>
      </c>
      <c r="R10" s="26"/>
      <c r="S10" s="26"/>
      <c r="T10" s="26"/>
    </row>
    <row r="11" spans="1:20" s="4" customFormat="1" ht="19.5" customHeight="1" x14ac:dyDescent="0.25">
      <c r="A11" s="27" t="s">
        <v>16</v>
      </c>
      <c r="B11" s="28">
        <v>1.24295101118266</v>
      </c>
      <c r="C11" s="29">
        <v>7.4477380458767506E-2</v>
      </c>
      <c r="D11" s="30">
        <v>5.9919803587353576E-2</v>
      </c>
      <c r="E11" s="31">
        <v>119</v>
      </c>
      <c r="F11" s="28">
        <v>0.78580162506780804</v>
      </c>
      <c r="G11" s="29">
        <v>3.5631857936402903E-2</v>
      </c>
      <c r="H11" s="30">
        <v>4.534459690552075E-2</v>
      </c>
      <c r="I11" s="31">
        <v>59</v>
      </c>
      <c r="J11" s="28">
        <v>0.38062613508718002</v>
      </c>
      <c r="K11" s="29">
        <v>8.7283453185583795E-2</v>
      </c>
      <c r="L11" s="30">
        <v>0.22931544930721079</v>
      </c>
      <c r="M11" s="31">
        <v>4</v>
      </c>
      <c r="N11" s="28">
        <v>1.14182640649544</v>
      </c>
      <c r="O11" s="29">
        <v>7.6571326225944397E-2</v>
      </c>
      <c r="P11" s="30">
        <v>6.7060391833957983E-2</v>
      </c>
      <c r="Q11" s="31">
        <v>182</v>
      </c>
      <c r="R11" s="26"/>
      <c r="S11" s="26"/>
      <c r="T11" s="26"/>
    </row>
    <row r="12" spans="1:20" s="4" customFormat="1" ht="19.5" customHeight="1" x14ac:dyDescent="0.25">
      <c r="A12" s="27" t="s">
        <v>17</v>
      </c>
      <c r="B12" s="28">
        <v>1.12032969076614</v>
      </c>
      <c r="C12" s="29">
        <v>9.7618865492280701E-2</v>
      </c>
      <c r="D12" s="30">
        <v>8.713405196422476E-2</v>
      </c>
      <c r="E12" s="31">
        <v>277</v>
      </c>
      <c r="F12" s="28">
        <v>0.53550207818911499</v>
      </c>
      <c r="G12" s="29">
        <v>6.1272725579983797E-2</v>
      </c>
      <c r="H12" s="30">
        <v>0.11442107897543033</v>
      </c>
      <c r="I12" s="31">
        <v>259</v>
      </c>
      <c r="J12" s="28">
        <v>0.28183301962784302</v>
      </c>
      <c r="K12" s="29">
        <v>1.06807911691972E-2</v>
      </c>
      <c r="L12" s="30">
        <v>3.7897586249123864E-2</v>
      </c>
      <c r="M12" s="31">
        <v>47</v>
      </c>
      <c r="N12" s="28">
        <v>0.85242298379983805</v>
      </c>
      <c r="O12" s="29">
        <v>8.1718504024486396E-2</v>
      </c>
      <c r="P12" s="30">
        <v>9.5866143425897055E-2</v>
      </c>
      <c r="Q12" s="31">
        <v>583</v>
      </c>
      <c r="R12" s="26"/>
      <c r="S12" s="26"/>
      <c r="T12" s="26"/>
    </row>
    <row r="13" spans="1:20" s="4" customFormat="1" ht="19.5" customHeight="1" x14ac:dyDescent="0.25">
      <c r="A13" s="27" t="s">
        <v>18</v>
      </c>
      <c r="B13" s="28">
        <v>1.32131620870291</v>
      </c>
      <c r="C13" s="29">
        <v>0.130442307937264</v>
      </c>
      <c r="D13" s="30">
        <v>9.8721492310545902E-2</v>
      </c>
      <c r="E13" s="31">
        <v>52</v>
      </c>
      <c r="F13" s="28">
        <v>0.49692400160799499</v>
      </c>
      <c r="G13" s="29">
        <v>8.9605982501170106E-2</v>
      </c>
      <c r="H13" s="30">
        <v>0.18032130106659039</v>
      </c>
      <c r="I13" s="31">
        <v>54</v>
      </c>
      <c r="J13" s="28">
        <v>0.32648474097857899</v>
      </c>
      <c r="K13" s="29">
        <v>7.3837470162513005E-2</v>
      </c>
      <c r="L13" s="30">
        <v>0.22615902336261884</v>
      </c>
      <c r="M13" s="31">
        <v>4</v>
      </c>
      <c r="N13" s="28">
        <v>0.819677701828331</v>
      </c>
      <c r="O13" s="29">
        <v>0.142079034695482</v>
      </c>
      <c r="P13" s="30">
        <v>0.17333524430220293</v>
      </c>
      <c r="Q13" s="31">
        <v>110</v>
      </c>
      <c r="R13" s="26"/>
      <c r="S13" s="26"/>
      <c r="T13" s="26"/>
    </row>
    <row r="14" spans="1:20" s="4" customFormat="1" ht="19.5" customHeight="1" x14ac:dyDescent="0.25">
      <c r="A14" s="27" t="s">
        <v>19</v>
      </c>
      <c r="B14" s="32">
        <v>1.29715723905317</v>
      </c>
      <c r="C14" s="33">
        <v>9.8863684940426896E-2</v>
      </c>
      <c r="D14" s="30">
        <v>7.6215652169192807E-2</v>
      </c>
      <c r="E14" s="31">
        <v>17</v>
      </c>
      <c r="F14" s="32">
        <v>0.54881522828600204</v>
      </c>
      <c r="G14" s="33">
        <v>0.145402485191966</v>
      </c>
      <c r="H14" s="30">
        <v>0.26493886776077746</v>
      </c>
      <c r="I14" s="31">
        <v>16</v>
      </c>
      <c r="J14" s="32">
        <v>0.23792623622884501</v>
      </c>
      <c r="K14" s="33">
        <v>8.1104099156577805E-2</v>
      </c>
      <c r="L14" s="30">
        <v>0.34087917516826227</v>
      </c>
      <c r="M14" s="31">
        <v>1</v>
      </c>
      <c r="N14" s="32">
        <v>0.68949362676673298</v>
      </c>
      <c r="O14" s="33">
        <v>0.15746376472064899</v>
      </c>
      <c r="P14" s="30">
        <v>0.22837595389974732</v>
      </c>
      <c r="Q14" s="31">
        <v>34</v>
      </c>
      <c r="R14" s="26"/>
      <c r="S14" s="26"/>
      <c r="T14" s="26"/>
    </row>
    <row r="15" spans="1:20" s="4" customFormat="1" ht="19.5" customHeight="1" thickBot="1" x14ac:dyDescent="0.3">
      <c r="A15" s="27" t="s">
        <v>20</v>
      </c>
      <c r="B15" s="32">
        <v>1.4301810102859001</v>
      </c>
      <c r="C15" s="34">
        <v>0.39927987314664398</v>
      </c>
      <c r="D15" s="30">
        <v>0.27918135555920015</v>
      </c>
      <c r="E15" s="31">
        <v>10</v>
      </c>
      <c r="F15" s="32">
        <v>0.67877836113150303</v>
      </c>
      <c r="G15" s="34">
        <v>0.12719304344184901</v>
      </c>
      <c r="H15" s="30">
        <v>0.18738523607296798</v>
      </c>
      <c r="I15" s="31">
        <v>4</v>
      </c>
      <c r="J15" s="32">
        <v>0.21652918661953099</v>
      </c>
      <c r="K15" s="34">
        <v>2.8584611244514099E-2</v>
      </c>
      <c r="L15" s="30">
        <v>0.13201274013346226</v>
      </c>
      <c r="M15" s="31">
        <v>1</v>
      </c>
      <c r="N15" s="32">
        <v>1.22561467093892</v>
      </c>
      <c r="O15" s="34">
        <v>0.32415378186903798</v>
      </c>
      <c r="P15" s="30">
        <v>0.26448262211214391</v>
      </c>
      <c r="Q15" s="31">
        <v>15</v>
      </c>
      <c r="R15" s="26"/>
      <c r="S15" s="26"/>
      <c r="T15" s="26"/>
    </row>
    <row r="16" spans="1:20" s="4" customFormat="1" ht="24.75" customHeight="1" thickTop="1" x14ac:dyDescent="0.25">
      <c r="A16" s="35" t="s">
        <v>4</v>
      </c>
      <c r="B16" s="36">
        <v>1.17498450617276</v>
      </c>
      <c r="C16" s="37">
        <v>4.1343895559078601E-2</v>
      </c>
      <c r="D16" s="38">
        <v>3.5186758073727092E-2</v>
      </c>
      <c r="E16" s="39">
        <v>1588</v>
      </c>
      <c r="F16" s="36">
        <v>0.58066549507060194</v>
      </c>
      <c r="G16" s="37">
        <v>3.5500143661681097E-2</v>
      </c>
      <c r="H16" s="38">
        <v>6.1136995332165732E-2</v>
      </c>
      <c r="I16" s="39">
        <v>865</v>
      </c>
      <c r="J16" s="36">
        <v>0.293762913854625</v>
      </c>
      <c r="K16" s="37">
        <v>8.2472540884830307E-3</v>
      </c>
      <c r="L16" s="38">
        <v>2.8074524385213462E-2</v>
      </c>
      <c r="M16" s="39">
        <v>120</v>
      </c>
      <c r="N16" s="36">
        <v>0.91732557749037003</v>
      </c>
      <c r="O16" s="37">
        <v>3.9975314883062503E-2</v>
      </c>
      <c r="P16" s="38">
        <v>4.3578109957892415E-2</v>
      </c>
      <c r="Q16" s="39">
        <v>2573</v>
      </c>
    </row>
    <row r="18" spans="1:20" s="4" customFormat="1" ht="50.25" customHeight="1" x14ac:dyDescent="0.25">
      <c r="A18" s="5" t="s">
        <v>52</v>
      </c>
      <c r="B18" s="17" t="s">
        <v>270</v>
      </c>
      <c r="C18" s="18" t="s">
        <v>271</v>
      </c>
      <c r="D18" s="18" t="s">
        <v>8</v>
      </c>
      <c r="E18" s="19" t="s">
        <v>9</v>
      </c>
      <c r="F18" s="17" t="s">
        <v>270</v>
      </c>
      <c r="G18" s="18" t="s">
        <v>271</v>
      </c>
      <c r="H18" s="18" t="s">
        <v>8</v>
      </c>
      <c r="I18" s="19" t="s">
        <v>9</v>
      </c>
      <c r="J18" s="17" t="s">
        <v>270</v>
      </c>
      <c r="K18" s="18" t="s">
        <v>271</v>
      </c>
      <c r="L18" s="18" t="s">
        <v>8</v>
      </c>
      <c r="M18" s="20" t="s">
        <v>9</v>
      </c>
      <c r="N18" s="17" t="s">
        <v>270</v>
      </c>
      <c r="O18" s="18" t="s">
        <v>271</v>
      </c>
      <c r="P18" s="18" t="s">
        <v>8</v>
      </c>
      <c r="Q18" s="19" t="s">
        <v>9</v>
      </c>
    </row>
    <row r="19" spans="1:20" s="4" customFormat="1" ht="19.5" customHeight="1" x14ac:dyDescent="0.25">
      <c r="A19" s="50" t="s">
        <v>59</v>
      </c>
      <c r="B19" s="32">
        <v>1.19774366469572</v>
      </c>
      <c r="C19" s="33">
        <v>3.53190232028011E-2</v>
      </c>
      <c r="D19" s="24">
        <v>2.9487964949306326E-2</v>
      </c>
      <c r="E19" s="25">
        <v>1284</v>
      </c>
      <c r="F19" s="32">
        <v>0.61817649013385301</v>
      </c>
      <c r="G19" s="33">
        <v>4.0152795668545897E-2</v>
      </c>
      <c r="H19" s="24">
        <v>6.4953611645521589E-2</v>
      </c>
      <c r="I19" s="25">
        <v>586</v>
      </c>
      <c r="J19" s="32">
        <v>0.30890776189268798</v>
      </c>
      <c r="K19" s="33">
        <v>1.20822473075169E-2</v>
      </c>
      <c r="L19" s="24">
        <v>3.9112799346602931E-2</v>
      </c>
      <c r="M19" s="25">
        <v>71</v>
      </c>
      <c r="N19" s="32">
        <v>0.96864228988704504</v>
      </c>
      <c r="O19" s="33">
        <v>3.9550240201546197E-2</v>
      </c>
      <c r="P19" s="24">
        <v>4.083059413620916E-2</v>
      </c>
      <c r="Q19" s="25">
        <v>1941</v>
      </c>
      <c r="R19" s="26"/>
      <c r="S19" s="26"/>
      <c r="T19" s="26"/>
    </row>
    <row r="20" spans="1:20" s="4" customFormat="1" ht="19.5" customHeight="1" thickBot="1" x14ac:dyDescent="0.3">
      <c r="A20" s="51" t="s">
        <v>60</v>
      </c>
      <c r="B20" s="32">
        <v>1.1377976171886099</v>
      </c>
      <c r="C20" s="34">
        <v>9.1677983725647005E-2</v>
      </c>
      <c r="D20" s="30">
        <v>8.057494789993902E-2</v>
      </c>
      <c r="E20" s="31">
        <v>304</v>
      </c>
      <c r="F20" s="32">
        <v>0.53850679867612405</v>
      </c>
      <c r="G20" s="34">
        <v>5.6813381346298999E-2</v>
      </c>
      <c r="H20" s="30">
        <v>0.10550169744554787</v>
      </c>
      <c r="I20" s="31">
        <v>279</v>
      </c>
      <c r="J20" s="32">
        <v>0.27703731249025498</v>
      </c>
      <c r="K20" s="34">
        <v>1.1260279747857101E-2</v>
      </c>
      <c r="L20" s="30">
        <v>4.0645354398798503E-2</v>
      </c>
      <c r="M20" s="31">
        <v>49</v>
      </c>
      <c r="N20" s="32">
        <v>0.84576254730218003</v>
      </c>
      <c r="O20" s="34">
        <v>7.7886599617649294E-2</v>
      </c>
      <c r="P20" s="30">
        <v>9.2090386203660321E-2</v>
      </c>
      <c r="Q20" s="31">
        <v>632</v>
      </c>
      <c r="R20" s="26"/>
      <c r="S20" s="26"/>
      <c r="T20" s="26"/>
    </row>
    <row r="21" spans="1:20" s="4" customFormat="1" ht="24.75" customHeight="1" thickTop="1" x14ac:dyDescent="0.25">
      <c r="A21" s="35" t="s">
        <v>4</v>
      </c>
      <c r="B21" s="36">
        <v>1.17498450617276</v>
      </c>
      <c r="C21" s="37">
        <v>4.1343895559078601E-2</v>
      </c>
      <c r="D21" s="38">
        <v>3.5186758073727092E-2</v>
      </c>
      <c r="E21" s="39">
        <v>1588</v>
      </c>
      <c r="F21" s="36">
        <v>0.58066549507060194</v>
      </c>
      <c r="G21" s="37">
        <v>3.5500143661681097E-2</v>
      </c>
      <c r="H21" s="38">
        <v>6.1136995332165732E-2</v>
      </c>
      <c r="I21" s="39">
        <v>865</v>
      </c>
      <c r="J21" s="36">
        <v>0.293762913854625</v>
      </c>
      <c r="K21" s="37">
        <v>8.2472540884830307E-3</v>
      </c>
      <c r="L21" s="38">
        <v>2.8074524385213462E-2</v>
      </c>
      <c r="M21" s="39">
        <v>120</v>
      </c>
      <c r="N21" s="36">
        <v>0.91732557749037003</v>
      </c>
      <c r="O21" s="37">
        <v>3.9975314883062503E-2</v>
      </c>
      <c r="P21" s="38">
        <v>4.3578109957892415E-2</v>
      </c>
      <c r="Q21" s="39">
        <v>2573</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272</v>
      </c>
      <c r="B23" s="44" t="s">
        <v>26</v>
      </c>
      <c r="C23" s="4" t="s">
        <v>40</v>
      </c>
    </row>
    <row r="24" spans="1:20" s="4" customFormat="1" x14ac:dyDescent="0.25">
      <c r="A24" s="40"/>
      <c r="B24" s="45" t="s">
        <v>26</v>
      </c>
      <c r="C24" s="4" t="s">
        <v>29</v>
      </c>
    </row>
  </sheetData>
  <conditionalFormatting sqref="M5:M16">
    <cfRule type="expression" dxfId="309" priority="56">
      <formula>M5&lt;=1</formula>
    </cfRule>
  </conditionalFormatting>
  <conditionalFormatting sqref="J5:J16">
    <cfRule type="expression" dxfId="308" priority="50">
      <formula>OR(L5&gt;=0.5,M5&lt;=5)</formula>
    </cfRule>
    <cfRule type="expression" dxfId="307" priority="53">
      <formula>M5&lt;=1</formula>
    </cfRule>
  </conditionalFormatting>
  <conditionalFormatting sqref="K5:K16">
    <cfRule type="expression" dxfId="306" priority="51">
      <formula>OR(L5&gt;=0.5,M5&lt;=5)</formula>
    </cfRule>
    <cfRule type="expression" dxfId="305" priority="54">
      <formula>M5&lt;=1</formula>
    </cfRule>
  </conditionalFormatting>
  <conditionalFormatting sqref="L5:L16">
    <cfRule type="expression" dxfId="304" priority="52">
      <formula>OR(L5&gt;=0.5,M5&lt;=5)</formula>
    </cfRule>
    <cfRule type="expression" dxfId="303" priority="55">
      <formula>M5&lt;=1</formula>
    </cfRule>
  </conditionalFormatting>
  <conditionalFormatting sqref="Q5:Q16">
    <cfRule type="expression" dxfId="302" priority="49">
      <formula>Q5&lt;=1</formula>
    </cfRule>
  </conditionalFormatting>
  <conditionalFormatting sqref="N5:N16">
    <cfRule type="expression" dxfId="301" priority="43">
      <formula>OR(P5&gt;=0.5,Q5&lt;=5)</formula>
    </cfRule>
    <cfRule type="expression" dxfId="300" priority="46">
      <formula>Q5&lt;=1</formula>
    </cfRule>
  </conditionalFormatting>
  <conditionalFormatting sqref="O5:O16">
    <cfRule type="expression" dxfId="299" priority="44">
      <formula>OR(P5&gt;=0.5,Q5&lt;=5)</formula>
    </cfRule>
    <cfRule type="expression" dxfId="298" priority="47">
      <formula>Q5&lt;=1</formula>
    </cfRule>
  </conditionalFormatting>
  <conditionalFormatting sqref="P5:P16">
    <cfRule type="expression" dxfId="297" priority="45">
      <formula>OR(P5&gt;=0.5,Q5&lt;=5)</formula>
    </cfRule>
    <cfRule type="expression" dxfId="296" priority="48">
      <formula>Q5&lt;=1</formula>
    </cfRule>
  </conditionalFormatting>
  <conditionalFormatting sqref="E5:E16">
    <cfRule type="expression" dxfId="295" priority="42">
      <formula>E5&lt;=1</formula>
    </cfRule>
  </conditionalFormatting>
  <conditionalFormatting sqref="B5:B16">
    <cfRule type="expression" dxfId="294" priority="36">
      <formula>OR(D5&gt;=0.5,E5&lt;=5)</formula>
    </cfRule>
    <cfRule type="expression" dxfId="293" priority="39">
      <formula>E5&lt;=1</formula>
    </cfRule>
  </conditionalFormatting>
  <conditionalFormatting sqref="C5:C16">
    <cfRule type="expression" dxfId="292" priority="37">
      <formula>OR(D5&gt;=0.5,E5&lt;=5)</formula>
    </cfRule>
    <cfRule type="expression" dxfId="291" priority="40">
      <formula>E5&lt;=1</formula>
    </cfRule>
  </conditionalFormatting>
  <conditionalFormatting sqref="D5:D16">
    <cfRule type="expression" dxfId="290" priority="38">
      <formula>OR(D5&gt;=0.5,E5&lt;=5)</formula>
    </cfRule>
    <cfRule type="expression" dxfId="289" priority="41">
      <formula>E5&lt;=1</formula>
    </cfRule>
  </conditionalFormatting>
  <conditionalFormatting sqref="I5:I16">
    <cfRule type="expression" dxfId="288" priority="35">
      <formula>I5&lt;=1</formula>
    </cfRule>
  </conditionalFormatting>
  <conditionalFormatting sqref="F5:F16">
    <cfRule type="expression" dxfId="287" priority="29">
      <formula>OR(H5&gt;=0.5,I5&lt;=5)</formula>
    </cfRule>
    <cfRule type="expression" dxfId="286" priority="32">
      <formula>I5&lt;=1</formula>
    </cfRule>
  </conditionalFormatting>
  <conditionalFormatting sqref="G5:G16">
    <cfRule type="expression" dxfId="285" priority="30">
      <formula>OR(H5&gt;=0.5,I5&lt;=5)</formula>
    </cfRule>
    <cfRule type="expression" dxfId="284" priority="33">
      <formula>I5&lt;=1</formula>
    </cfRule>
  </conditionalFormatting>
  <conditionalFormatting sqref="H5:H16">
    <cfRule type="expression" dxfId="283" priority="31">
      <formula>OR(H5&gt;=0.5,I5&lt;=5)</formula>
    </cfRule>
    <cfRule type="expression" dxfId="282" priority="34">
      <formula>I5&lt;=1</formula>
    </cfRule>
  </conditionalFormatting>
  <conditionalFormatting sqref="E19:E21">
    <cfRule type="expression" dxfId="281" priority="26">
      <formula>E19&lt;=1</formula>
    </cfRule>
  </conditionalFormatting>
  <conditionalFormatting sqref="B19:B21">
    <cfRule type="expression" dxfId="280" priority="22">
      <formula>OR(D19&gt;=0.5,E19&lt;=5)</formula>
    </cfRule>
    <cfRule type="expression" dxfId="279" priority="24">
      <formula>E19&lt;=1</formula>
    </cfRule>
  </conditionalFormatting>
  <conditionalFormatting sqref="C19:C21">
    <cfRule type="expression" dxfId="278" priority="23">
      <formula>OR(D19&gt;=0.5,E19&lt;=5)</formula>
    </cfRule>
    <cfRule type="expression" dxfId="277" priority="25">
      <formula>E19&lt;=1</formula>
    </cfRule>
  </conditionalFormatting>
  <conditionalFormatting sqref="D19:D21">
    <cfRule type="expression" dxfId="276" priority="27">
      <formula>OR(D19&gt;=0.5,E19&lt;=5)</formula>
    </cfRule>
    <cfRule type="expression" dxfId="275" priority="28">
      <formula>E19&lt;=1</formula>
    </cfRule>
  </conditionalFormatting>
  <conditionalFormatting sqref="I19:I21">
    <cfRule type="expression" dxfId="274" priority="19">
      <formula>I19&lt;=1</formula>
    </cfRule>
  </conditionalFormatting>
  <conditionalFormatting sqref="F19:F21">
    <cfRule type="expression" dxfId="273" priority="15">
      <formula>OR(H19&gt;=0.5,I19&lt;=5)</formula>
    </cfRule>
    <cfRule type="expression" dxfId="272" priority="17">
      <formula>I19&lt;=1</formula>
    </cfRule>
  </conditionalFormatting>
  <conditionalFormatting sqref="G19:G21">
    <cfRule type="expression" dxfId="271" priority="16">
      <formula>OR(H19&gt;=0.5,I19&lt;=5)</formula>
    </cfRule>
    <cfRule type="expression" dxfId="270" priority="18">
      <formula>I19&lt;=1</formula>
    </cfRule>
  </conditionalFormatting>
  <conditionalFormatting sqref="H19:H21">
    <cfRule type="expression" dxfId="269" priority="20">
      <formula>OR(H19&gt;=0.5,I19&lt;=5)</formula>
    </cfRule>
    <cfRule type="expression" dxfId="268" priority="21">
      <formula>I19&lt;=1</formula>
    </cfRule>
  </conditionalFormatting>
  <conditionalFormatting sqref="M19:M21">
    <cfRule type="expression" dxfId="267" priority="12">
      <formula>M19&lt;=1</formula>
    </cfRule>
  </conditionalFormatting>
  <conditionalFormatting sqref="J19:J21">
    <cfRule type="expression" dxfId="266" priority="8">
      <formula>OR(L19&gt;=0.5,M19&lt;=5)</formula>
    </cfRule>
    <cfRule type="expression" dxfId="265" priority="10">
      <formula>M19&lt;=1</formula>
    </cfRule>
  </conditionalFormatting>
  <conditionalFormatting sqref="K19:K21">
    <cfRule type="expression" dxfId="264" priority="9">
      <formula>OR(L19&gt;=0.5,M19&lt;=5)</formula>
    </cfRule>
    <cfRule type="expression" dxfId="263" priority="11">
      <formula>M19&lt;=1</formula>
    </cfRule>
  </conditionalFormatting>
  <conditionalFormatting sqref="L19:L21">
    <cfRule type="expression" dxfId="262" priority="13">
      <formula>OR(L19&gt;=0.5,M19&lt;=5)</formula>
    </cfRule>
    <cfRule type="expression" dxfId="261" priority="14">
      <formula>M19&lt;=1</formula>
    </cfRule>
  </conditionalFormatting>
  <conditionalFormatting sqref="Q19:Q21">
    <cfRule type="expression" dxfId="260" priority="5">
      <formula>Q19&lt;=1</formula>
    </cfRule>
  </conditionalFormatting>
  <conditionalFormatting sqref="N19:N21">
    <cfRule type="expression" dxfId="259" priority="1">
      <formula>OR(P19&gt;=0.5,Q19&lt;=5)</formula>
    </cfRule>
    <cfRule type="expression" dxfId="258" priority="3">
      <formula>Q19&lt;=1</formula>
    </cfRule>
  </conditionalFormatting>
  <conditionalFormatting sqref="O19:O21">
    <cfRule type="expression" dxfId="257" priority="2">
      <formula>OR(P19&gt;=0.5,Q19&lt;=5)</formula>
    </cfRule>
    <cfRule type="expression" dxfId="256" priority="4">
      <formula>Q19&lt;=1</formula>
    </cfRule>
  </conditionalFormatting>
  <conditionalFormatting sqref="P19:P21">
    <cfRule type="expression" dxfId="255" priority="6">
      <formula>OR(P19&gt;=0.5,Q19&lt;=5)</formula>
    </cfRule>
    <cfRule type="expression" dxfId="254" priority="7">
      <formula>Q19&lt;=1</formula>
    </cfRule>
  </conditionalFormatting>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30185-F657-4EBD-A818-7E21F490A7F5}">
  <dimension ref="A1:T25"/>
  <sheetViews>
    <sheetView workbookViewId="0">
      <selection activeCell="A25" sqref="A25"/>
    </sheetView>
  </sheetViews>
  <sheetFormatPr baseColWidth="10" defaultRowHeight="15" x14ac:dyDescent="0.25"/>
  <cols>
    <col min="1" max="1" width="79.85546875" customWidth="1"/>
  </cols>
  <sheetData>
    <row r="1" spans="1:20" s="4" customFormat="1" ht="36.75" customHeight="1" x14ac:dyDescent="0.25">
      <c r="A1" s="1" t="s">
        <v>132</v>
      </c>
      <c r="B1" s="2"/>
      <c r="C1" s="2"/>
      <c r="D1" s="2"/>
      <c r="E1" s="2"/>
      <c r="F1" s="2"/>
      <c r="G1" s="2"/>
      <c r="H1" s="2"/>
      <c r="I1" s="2"/>
      <c r="J1" s="2"/>
      <c r="K1" s="2"/>
      <c r="L1" s="2"/>
      <c r="M1" s="2"/>
      <c r="N1" s="2"/>
      <c r="O1" s="2"/>
      <c r="P1" s="2"/>
      <c r="Q1" s="3"/>
    </row>
    <row r="2" spans="1:20" s="4" customFormat="1" ht="45" x14ac:dyDescent="0.25">
      <c r="A2" s="86" t="s">
        <v>221</v>
      </c>
      <c r="B2" s="6" t="s">
        <v>0</v>
      </c>
      <c r="C2" s="7"/>
      <c r="D2" s="7"/>
      <c r="E2" s="7"/>
      <c r="F2" s="7"/>
      <c r="G2" s="7"/>
      <c r="H2" s="7"/>
      <c r="I2" s="7"/>
      <c r="J2" s="7"/>
      <c r="K2" s="7"/>
      <c r="L2" s="7"/>
      <c r="M2" s="8"/>
      <c r="N2" s="170"/>
      <c r="O2" s="171"/>
      <c r="P2" s="171"/>
      <c r="Q2" s="172"/>
    </row>
    <row r="3" spans="1:20" s="4" customFormat="1" ht="30" x14ac:dyDescent="0.25">
      <c r="A3" s="52" t="s">
        <v>133</v>
      </c>
      <c r="B3" s="11" t="s">
        <v>1</v>
      </c>
      <c r="C3" s="12"/>
      <c r="D3" s="12"/>
      <c r="E3" s="13"/>
      <c r="F3" s="11" t="s">
        <v>33</v>
      </c>
      <c r="G3" s="12"/>
      <c r="H3" s="12"/>
      <c r="I3" s="13"/>
      <c r="J3" s="11" t="s">
        <v>3</v>
      </c>
      <c r="K3" s="12"/>
      <c r="L3" s="12"/>
      <c r="M3" s="14"/>
      <c r="N3" s="170" t="s">
        <v>4</v>
      </c>
      <c r="O3" s="171"/>
      <c r="P3" s="171"/>
      <c r="Q3" s="172"/>
    </row>
    <row r="4" spans="1:20" s="4" customFormat="1" ht="60" x14ac:dyDescent="0.25">
      <c r="A4" s="5" t="s">
        <v>5</v>
      </c>
      <c r="B4" s="17" t="s">
        <v>134</v>
      </c>
      <c r="C4" s="18" t="s">
        <v>135</v>
      </c>
      <c r="D4" s="18" t="s">
        <v>8</v>
      </c>
      <c r="E4" s="19" t="s">
        <v>9</v>
      </c>
      <c r="F4" s="17" t="s">
        <v>134</v>
      </c>
      <c r="G4" s="18" t="s">
        <v>135</v>
      </c>
      <c r="H4" s="18" t="s">
        <v>8</v>
      </c>
      <c r="I4" s="19" t="s">
        <v>9</v>
      </c>
      <c r="J4" s="17" t="s">
        <v>134</v>
      </c>
      <c r="K4" s="18" t="s">
        <v>135</v>
      </c>
      <c r="L4" s="18" t="s">
        <v>8</v>
      </c>
      <c r="M4" s="20" t="s">
        <v>9</v>
      </c>
      <c r="N4" s="17" t="s">
        <v>134</v>
      </c>
      <c r="O4" s="18" t="s">
        <v>135</v>
      </c>
      <c r="P4" s="18" t="s">
        <v>8</v>
      </c>
      <c r="Q4" s="19" t="s">
        <v>9</v>
      </c>
    </row>
    <row r="5" spans="1:20" s="4" customFormat="1" x14ac:dyDescent="0.25">
      <c r="A5" s="21" t="s">
        <v>10</v>
      </c>
      <c r="B5" s="22">
        <v>1.0452960331292196</v>
      </c>
      <c r="C5" s="23">
        <v>0.35955201839650236</v>
      </c>
      <c r="D5" s="24">
        <v>0.3439714750663887</v>
      </c>
      <c r="E5" s="25">
        <v>632</v>
      </c>
      <c r="F5" s="22">
        <v>1.0395421150993023</v>
      </c>
      <c r="G5" s="23">
        <v>0.37067100363082006</v>
      </c>
      <c r="H5" s="24">
        <v>0.35657141567122724</v>
      </c>
      <c r="I5" s="25">
        <v>351</v>
      </c>
      <c r="J5" s="22">
        <v>0.92920380725208995</v>
      </c>
      <c r="K5" s="23">
        <v>0.33563548417911415</v>
      </c>
      <c r="L5" s="24">
        <v>0.36120760758791998</v>
      </c>
      <c r="M5" s="25">
        <v>31</v>
      </c>
      <c r="N5" s="22">
        <v>1.0435363405546054</v>
      </c>
      <c r="O5" s="23">
        <v>0.3026014196775666</v>
      </c>
      <c r="P5" s="24">
        <v>0.28997688716498732</v>
      </c>
      <c r="Q5" s="25">
        <v>1014</v>
      </c>
      <c r="R5" s="26"/>
      <c r="S5" s="26"/>
      <c r="T5" s="26"/>
    </row>
    <row r="6" spans="1:20" s="4" customFormat="1" x14ac:dyDescent="0.25">
      <c r="A6" s="27" t="s">
        <v>11</v>
      </c>
      <c r="B6" s="28">
        <v>1.0099385216931691</v>
      </c>
      <c r="C6" s="29">
        <v>0.29550449463667849</v>
      </c>
      <c r="D6" s="30">
        <v>0.29259651779720525</v>
      </c>
      <c r="E6" s="31">
        <v>63</v>
      </c>
      <c r="F6" s="28">
        <v>0.98966379845601526</v>
      </c>
      <c r="G6" s="29">
        <v>0.95009662425605501</v>
      </c>
      <c r="H6" s="30">
        <v>0.96001958012237143</v>
      </c>
      <c r="I6" s="31">
        <v>51</v>
      </c>
      <c r="J6" s="28">
        <v>1.0220514755778118</v>
      </c>
      <c r="K6" s="29">
        <v>0.80877060527827549</v>
      </c>
      <c r="L6" s="30">
        <v>0.79132081368117091</v>
      </c>
      <c r="M6" s="31">
        <v>16</v>
      </c>
      <c r="N6" s="28">
        <v>1.0039302878823058</v>
      </c>
      <c r="O6" s="29">
        <v>0.36196686091053171</v>
      </c>
      <c r="P6" s="30">
        <v>0.36054979641471513</v>
      </c>
      <c r="Q6" s="31">
        <v>130</v>
      </c>
      <c r="R6" s="26"/>
      <c r="S6" s="26"/>
      <c r="T6" s="26"/>
    </row>
    <row r="7" spans="1:20" s="4" customFormat="1" x14ac:dyDescent="0.25">
      <c r="A7" s="27" t="s">
        <v>12</v>
      </c>
      <c r="B7" s="28">
        <v>1.1711497928749859</v>
      </c>
      <c r="C7" s="29">
        <v>0.48146990170559939</v>
      </c>
      <c r="D7" s="30">
        <v>0.41110872805063442</v>
      </c>
      <c r="E7" s="31">
        <v>110</v>
      </c>
      <c r="F7" s="28">
        <v>1.2249444478085838</v>
      </c>
      <c r="G7" s="29">
        <v>0.55068260314715645</v>
      </c>
      <c r="H7" s="30">
        <v>0.44955720574294072</v>
      </c>
      <c r="I7" s="31">
        <v>70</v>
      </c>
      <c r="J7" s="28">
        <v>1.4349188672932747</v>
      </c>
      <c r="K7" s="29">
        <v>0.80279795878134141</v>
      </c>
      <c r="L7" s="30">
        <v>0.55947271799114351</v>
      </c>
      <c r="M7" s="31">
        <v>13</v>
      </c>
      <c r="N7" s="28">
        <v>1.2038021584638425</v>
      </c>
      <c r="O7" s="29">
        <v>0.38534703883382099</v>
      </c>
      <c r="P7" s="30">
        <v>0.32010828035526845</v>
      </c>
      <c r="Q7" s="31">
        <v>193</v>
      </c>
      <c r="R7" s="26"/>
      <c r="S7" s="26"/>
      <c r="T7" s="26"/>
    </row>
    <row r="8" spans="1:20" s="4" customFormat="1" x14ac:dyDescent="0.25">
      <c r="A8" s="27" t="s">
        <v>13</v>
      </c>
      <c r="B8" s="28">
        <v>1.0646646031975739</v>
      </c>
      <c r="C8" s="29">
        <v>0.1138605012327351</v>
      </c>
      <c r="D8" s="30">
        <v>0.10694494856950322</v>
      </c>
      <c r="E8" s="31">
        <v>806</v>
      </c>
      <c r="F8" s="28">
        <v>1.0565798582283088</v>
      </c>
      <c r="G8" s="29">
        <v>0.46739129680283586</v>
      </c>
      <c r="H8" s="30">
        <v>0.44236248984205095</v>
      </c>
      <c r="I8" s="31">
        <v>290</v>
      </c>
      <c r="J8" s="28">
        <v>1.0379737562429907</v>
      </c>
      <c r="K8" s="29">
        <v>0.46757694012735046</v>
      </c>
      <c r="L8" s="30">
        <v>0.45047086914776507</v>
      </c>
      <c r="M8" s="31">
        <v>33</v>
      </c>
      <c r="N8" s="28">
        <v>1.0624920561890263</v>
      </c>
      <c r="O8" s="29">
        <v>0.22990186075794339</v>
      </c>
      <c r="P8" s="30">
        <v>0.21637983965975358</v>
      </c>
      <c r="Q8" s="31">
        <v>1129</v>
      </c>
      <c r="R8" s="26"/>
      <c r="S8" s="26"/>
      <c r="T8" s="26"/>
    </row>
    <row r="9" spans="1:20" s="4" customFormat="1" x14ac:dyDescent="0.25">
      <c r="A9" s="27" t="s">
        <v>14</v>
      </c>
      <c r="B9" s="28">
        <v>0.93883651465507345</v>
      </c>
      <c r="C9" s="29">
        <v>0.19500413820980889</v>
      </c>
      <c r="D9" s="30">
        <v>0.2077083018883783</v>
      </c>
      <c r="E9" s="31">
        <v>349</v>
      </c>
      <c r="F9" s="28">
        <v>1.047872717665314</v>
      </c>
      <c r="G9" s="29">
        <v>0.56386972535677526</v>
      </c>
      <c r="H9" s="30">
        <v>0.53810898580611088</v>
      </c>
      <c r="I9" s="31">
        <v>132</v>
      </c>
      <c r="J9" s="28">
        <v>1.0137233668296017</v>
      </c>
      <c r="K9" s="29">
        <v>0.86048277978951559</v>
      </c>
      <c r="L9" s="30">
        <v>0.84883392052079965</v>
      </c>
      <c r="M9" s="31">
        <v>20</v>
      </c>
      <c r="N9" s="28">
        <v>0.96536955775492794</v>
      </c>
      <c r="O9" s="29">
        <v>0.21642991235056921</v>
      </c>
      <c r="P9" s="30">
        <v>0.22419384432828041</v>
      </c>
      <c r="Q9" s="31">
        <v>501</v>
      </c>
      <c r="R9" s="26"/>
      <c r="S9" s="26"/>
      <c r="T9" s="26"/>
    </row>
    <row r="10" spans="1:20" s="4" customFormat="1" x14ac:dyDescent="0.25">
      <c r="A10" s="27" t="s">
        <v>15</v>
      </c>
      <c r="B10" s="28">
        <v>1.611532348386008</v>
      </c>
      <c r="C10" s="29">
        <v>1.0942565259266628</v>
      </c>
      <c r="D10" s="30">
        <v>0.6790161717961104</v>
      </c>
      <c r="E10" s="31">
        <v>231</v>
      </c>
      <c r="F10" s="28">
        <v>1.0814706765541082</v>
      </c>
      <c r="G10" s="29">
        <v>0.29668305546149976</v>
      </c>
      <c r="H10" s="30">
        <v>0.27433296333731533</v>
      </c>
      <c r="I10" s="31">
        <v>134</v>
      </c>
      <c r="J10" s="28">
        <v>1.1855360294847286</v>
      </c>
      <c r="K10" s="29">
        <v>0.45188643477722418</v>
      </c>
      <c r="L10" s="30">
        <v>0.38116634462271748</v>
      </c>
      <c r="M10" s="31">
        <v>11</v>
      </c>
      <c r="N10" s="28">
        <v>1.5277503107013644</v>
      </c>
      <c r="O10" s="29">
        <v>0.98423596030649396</v>
      </c>
      <c r="P10" s="30">
        <v>0.64423875643307704</v>
      </c>
      <c r="Q10" s="31">
        <v>376</v>
      </c>
      <c r="R10" s="26"/>
      <c r="S10" s="26"/>
      <c r="T10" s="26"/>
    </row>
    <row r="11" spans="1:20" s="4" customFormat="1" ht="30" x14ac:dyDescent="0.25">
      <c r="A11" s="27" t="s">
        <v>16</v>
      </c>
      <c r="B11" s="28">
        <v>1.0948665778187794</v>
      </c>
      <c r="C11" s="29">
        <v>0.22148854996178757</v>
      </c>
      <c r="D11" s="30">
        <v>0.20229729763332679</v>
      </c>
      <c r="E11" s="31">
        <v>227</v>
      </c>
      <c r="F11" s="28">
        <v>1.165804879162696</v>
      </c>
      <c r="G11" s="29">
        <v>0.74060917122276293</v>
      </c>
      <c r="H11" s="30">
        <v>0.63527712438009609</v>
      </c>
      <c r="I11" s="31">
        <v>115</v>
      </c>
      <c r="J11" s="28">
        <v>1.0444457659400506</v>
      </c>
      <c r="K11" s="29">
        <v>0.73073295133442662</v>
      </c>
      <c r="L11" s="30">
        <v>0.69963704690471162</v>
      </c>
      <c r="M11" s="31">
        <v>11</v>
      </c>
      <c r="N11" s="28">
        <v>1.1055477093228909</v>
      </c>
      <c r="O11" s="29">
        <v>0.24719085758513501</v>
      </c>
      <c r="P11" s="30">
        <v>0.22359130727748575</v>
      </c>
      <c r="Q11" s="31">
        <v>353</v>
      </c>
      <c r="R11" s="26"/>
      <c r="S11" s="26"/>
      <c r="T11" s="26"/>
    </row>
    <row r="12" spans="1:20" s="4" customFormat="1" x14ac:dyDescent="0.25">
      <c r="A12" s="27" t="s">
        <v>17</v>
      </c>
      <c r="B12" s="28">
        <v>0.92383161820614679</v>
      </c>
      <c r="C12" s="29">
        <v>0.23259451669639414</v>
      </c>
      <c r="D12" s="30">
        <v>0.2517715480966492</v>
      </c>
      <c r="E12" s="31">
        <v>501</v>
      </c>
      <c r="F12" s="28">
        <v>1.0904122689670079</v>
      </c>
      <c r="G12" s="29">
        <v>0.30800656601341198</v>
      </c>
      <c r="H12" s="30">
        <v>0.28246799378477205</v>
      </c>
      <c r="I12" s="31">
        <v>521</v>
      </c>
      <c r="J12" s="28">
        <v>1.0385407626032093</v>
      </c>
      <c r="K12" s="29">
        <v>0.34869910375873475</v>
      </c>
      <c r="L12" s="30">
        <v>0.3357587071350811</v>
      </c>
      <c r="M12" s="31">
        <v>64</v>
      </c>
      <c r="N12" s="28">
        <v>0.98495053371934893</v>
      </c>
      <c r="O12" s="29">
        <v>0.18995254535362815</v>
      </c>
      <c r="P12" s="30">
        <v>0.19285490880068207</v>
      </c>
      <c r="Q12" s="31">
        <v>1086</v>
      </c>
      <c r="R12" s="26"/>
      <c r="S12" s="26"/>
      <c r="T12" s="26"/>
    </row>
    <row r="13" spans="1:20" s="4" customFormat="1" x14ac:dyDescent="0.25">
      <c r="A13" s="27" t="s">
        <v>18</v>
      </c>
      <c r="B13" s="28">
        <v>1.069650780899285</v>
      </c>
      <c r="C13" s="29">
        <v>0.44442673116899328</v>
      </c>
      <c r="D13" s="30">
        <v>0.41548768916463691</v>
      </c>
      <c r="E13" s="31">
        <v>104</v>
      </c>
      <c r="F13" s="28">
        <v>1.0327878696215256</v>
      </c>
      <c r="G13" s="29">
        <v>0.32889346219616294</v>
      </c>
      <c r="H13" s="30">
        <v>0.31845209637937449</v>
      </c>
      <c r="I13" s="31">
        <v>126</v>
      </c>
      <c r="J13" s="28">
        <v>1.0087690583550013</v>
      </c>
      <c r="K13" s="29">
        <v>0.37949328854699188</v>
      </c>
      <c r="L13" s="30">
        <v>0.3761944177449606</v>
      </c>
      <c r="M13" s="31">
        <v>14</v>
      </c>
      <c r="N13" s="28">
        <v>1.0549206940168807</v>
      </c>
      <c r="O13" s="29">
        <v>0.29903909376753218</v>
      </c>
      <c r="P13" s="30">
        <v>0.28347068690904548</v>
      </c>
      <c r="Q13" s="31">
        <v>244</v>
      </c>
      <c r="R13" s="26"/>
      <c r="S13" s="26"/>
      <c r="T13" s="26"/>
    </row>
    <row r="14" spans="1:20" s="4" customFormat="1" x14ac:dyDescent="0.25">
      <c r="A14" s="27" t="s">
        <v>19</v>
      </c>
      <c r="B14" s="32">
        <v>1.0181247072921422</v>
      </c>
      <c r="C14" s="33">
        <v>0.17517231124632615</v>
      </c>
      <c r="D14" s="30">
        <v>0.17205388494325377</v>
      </c>
      <c r="E14" s="31">
        <v>26</v>
      </c>
      <c r="F14" s="32">
        <v>0.58551837485723879</v>
      </c>
      <c r="G14" s="33">
        <v>0.21449393440935774</v>
      </c>
      <c r="H14" s="30">
        <v>0.36633168764627699</v>
      </c>
      <c r="I14" s="31">
        <v>25</v>
      </c>
      <c r="J14" s="32" t="e">
        <v>#DIV/0!</v>
      </c>
      <c r="K14" s="33" t="e">
        <v>#DIV/0!</v>
      </c>
      <c r="L14" s="30" t="s">
        <v>136</v>
      </c>
      <c r="M14" s="31">
        <v>1</v>
      </c>
      <c r="N14" s="32">
        <v>0.76105611568418263</v>
      </c>
      <c r="O14" s="33">
        <v>0.246038455499133</v>
      </c>
      <c r="P14" s="30">
        <v>0.32328556387454638</v>
      </c>
      <c r="Q14" s="31">
        <v>52</v>
      </c>
      <c r="R14" s="26"/>
      <c r="S14" s="26"/>
      <c r="T14" s="26"/>
    </row>
    <row r="15" spans="1:20" s="4" customFormat="1" ht="15.75" thickBot="1" x14ac:dyDescent="0.3">
      <c r="A15" s="27" t="s">
        <v>20</v>
      </c>
      <c r="B15" s="32">
        <v>0.83127529697256564</v>
      </c>
      <c r="C15" s="34">
        <v>0.65259307128134636</v>
      </c>
      <c r="D15" s="30">
        <v>0.78505048045820103</v>
      </c>
      <c r="E15" s="31">
        <v>15</v>
      </c>
      <c r="F15" s="32">
        <v>0.95107137877546011</v>
      </c>
      <c r="G15" s="34">
        <v>0.20023419467901352</v>
      </c>
      <c r="H15" s="30">
        <v>0.21053540159816661</v>
      </c>
      <c r="I15" s="31">
        <v>9</v>
      </c>
      <c r="J15" s="32">
        <v>1.0279999999999994</v>
      </c>
      <c r="K15" s="34">
        <v>0.19192164982109941</v>
      </c>
      <c r="L15" s="30">
        <v>0.18669421188822913</v>
      </c>
      <c r="M15" s="31">
        <v>1</v>
      </c>
      <c r="N15" s="32">
        <v>0.87949938806287098</v>
      </c>
      <c r="O15" s="34">
        <v>0.38673575964272161</v>
      </c>
      <c r="P15" s="30">
        <v>0.43972260230279525</v>
      </c>
      <c r="Q15" s="31">
        <v>25</v>
      </c>
      <c r="R15" s="26"/>
      <c r="S15" s="26"/>
      <c r="T15" s="26"/>
    </row>
    <row r="16" spans="1:20" s="4" customFormat="1" ht="15.75" thickTop="1" x14ac:dyDescent="0.25">
      <c r="A16" s="35" t="s">
        <v>4</v>
      </c>
      <c r="B16" s="36">
        <v>1.0863283727455946</v>
      </c>
      <c r="C16" s="37">
        <v>0.16072246650384051</v>
      </c>
      <c r="D16" s="38">
        <v>0.14795016915339265</v>
      </c>
      <c r="E16" s="39">
        <v>3064</v>
      </c>
      <c r="F16" s="36">
        <v>1.0592000293775967</v>
      </c>
      <c r="G16" s="37">
        <v>0.17037832399901198</v>
      </c>
      <c r="H16" s="38">
        <v>0.16085566396663439</v>
      </c>
      <c r="I16" s="39">
        <v>1824</v>
      </c>
      <c r="J16" s="36">
        <v>1.1333330065856457</v>
      </c>
      <c r="K16" s="37">
        <v>0.32691508072595843</v>
      </c>
      <c r="L16" s="38">
        <v>0.28845456615690079</v>
      </c>
      <c r="M16" s="39">
        <v>215</v>
      </c>
      <c r="N16" s="92">
        <v>1.0794999955858158</v>
      </c>
      <c r="O16" s="37">
        <v>0.12852062428560102</v>
      </c>
      <c r="P16" s="38">
        <v>0.11905569690702621</v>
      </c>
      <c r="Q16" s="39">
        <v>5103</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60" x14ac:dyDescent="0.25">
      <c r="A18" s="5" t="s">
        <v>45</v>
      </c>
      <c r="B18" s="17" t="s">
        <v>134</v>
      </c>
      <c r="C18" s="18" t="s">
        <v>135</v>
      </c>
      <c r="D18" s="18" t="s">
        <v>8</v>
      </c>
      <c r="E18" s="19" t="s">
        <v>9</v>
      </c>
      <c r="F18" s="17" t="s">
        <v>134</v>
      </c>
      <c r="G18" s="18" t="s">
        <v>135</v>
      </c>
      <c r="H18" s="18" t="s">
        <v>8</v>
      </c>
      <c r="I18" s="19" t="s">
        <v>9</v>
      </c>
      <c r="J18" s="17" t="s">
        <v>134</v>
      </c>
      <c r="K18" s="18" t="s">
        <v>135</v>
      </c>
      <c r="L18" s="18" t="s">
        <v>8</v>
      </c>
      <c r="M18" s="20" t="s">
        <v>9</v>
      </c>
      <c r="N18" s="17" t="s">
        <v>134</v>
      </c>
      <c r="O18" s="18" t="s">
        <v>135</v>
      </c>
      <c r="P18" s="18" t="s">
        <v>8</v>
      </c>
      <c r="Q18" s="19" t="s">
        <v>9</v>
      </c>
    </row>
    <row r="19" spans="1:20" s="4" customFormat="1" x14ac:dyDescent="0.25">
      <c r="A19" s="50" t="s">
        <v>22</v>
      </c>
      <c r="B19" s="32">
        <v>1.1091414335465692</v>
      </c>
      <c r="C19" s="33">
        <v>0.16255504434844106</v>
      </c>
      <c r="D19" s="24">
        <v>0.14655934710567811</v>
      </c>
      <c r="E19" s="25">
        <v>2522</v>
      </c>
      <c r="F19" s="32">
        <v>1.0783180647470167</v>
      </c>
      <c r="G19" s="33">
        <v>0.21226306287353539</v>
      </c>
      <c r="H19" s="24">
        <v>0.19684643132018217</v>
      </c>
      <c r="I19" s="25">
        <v>1269</v>
      </c>
      <c r="J19" s="32">
        <v>1.1456321931559394</v>
      </c>
      <c r="K19" s="33">
        <v>0.34492791875516327</v>
      </c>
      <c r="L19" s="24">
        <v>0.30108085371184473</v>
      </c>
      <c r="M19" s="25">
        <v>149</v>
      </c>
      <c r="N19" s="32">
        <v>1.1018052641184455</v>
      </c>
      <c r="O19" s="33">
        <v>0.13750528815471147</v>
      </c>
      <c r="P19" s="24">
        <v>0.12479999200650894</v>
      </c>
      <c r="Q19" s="25">
        <v>3940</v>
      </c>
      <c r="R19" s="26"/>
      <c r="S19" s="26"/>
      <c r="T19" s="26"/>
    </row>
    <row r="20" spans="1:20" s="4" customFormat="1" ht="15.75" thickBot="1" x14ac:dyDescent="0.3">
      <c r="A20" s="51" t="s">
        <v>23</v>
      </c>
      <c r="B20" s="32">
        <v>0.91880741284782119</v>
      </c>
      <c r="C20" s="34">
        <v>0.22299038858902875</v>
      </c>
      <c r="D20" s="30">
        <v>0.24269546095397238</v>
      </c>
      <c r="E20" s="31">
        <v>542</v>
      </c>
      <c r="F20" s="32">
        <v>0.98475084582219963</v>
      </c>
      <c r="G20" s="34">
        <v>0.2599661121041576</v>
      </c>
      <c r="H20" s="30">
        <v>0.26399176320290813</v>
      </c>
      <c r="I20" s="31">
        <v>555</v>
      </c>
      <c r="J20" s="32">
        <v>1.030706024269012</v>
      </c>
      <c r="K20" s="34">
        <v>0.43568126455064499</v>
      </c>
      <c r="L20" s="30">
        <v>0.42270177363097777</v>
      </c>
      <c r="M20" s="31">
        <v>66</v>
      </c>
      <c r="N20" s="32">
        <v>0.94547941741581598</v>
      </c>
      <c r="O20" s="34">
        <v>0.16345298557610627</v>
      </c>
      <c r="P20" s="30">
        <v>0.17287841762103706</v>
      </c>
      <c r="Q20" s="31">
        <v>1163</v>
      </c>
      <c r="R20" s="26"/>
      <c r="S20" s="26"/>
      <c r="T20" s="26"/>
    </row>
    <row r="21" spans="1:20" s="4" customFormat="1" ht="15.75" thickTop="1" x14ac:dyDescent="0.25">
      <c r="A21" s="35" t="s">
        <v>4</v>
      </c>
      <c r="B21" s="36">
        <v>1.0863283727455946</v>
      </c>
      <c r="C21" s="37">
        <v>0.16072246650384051</v>
      </c>
      <c r="D21" s="38">
        <v>0.14795016915339265</v>
      </c>
      <c r="E21" s="39">
        <v>3064</v>
      </c>
      <c r="F21" s="36">
        <v>1.0592000293775967</v>
      </c>
      <c r="G21" s="37">
        <v>0.17037832399901198</v>
      </c>
      <c r="H21" s="38">
        <v>0.16085566396663439</v>
      </c>
      <c r="I21" s="39">
        <v>1824</v>
      </c>
      <c r="J21" s="36">
        <v>1.1333330065856457</v>
      </c>
      <c r="K21" s="37">
        <v>0.32691508072595843</v>
      </c>
      <c r="L21" s="38">
        <v>0.28845456615690079</v>
      </c>
      <c r="M21" s="39">
        <v>215</v>
      </c>
      <c r="N21" s="92">
        <v>1.0794999955858158</v>
      </c>
      <c r="O21" s="37">
        <v>0.12852062428560102</v>
      </c>
      <c r="P21" s="38">
        <v>0.11905569690702621</v>
      </c>
      <c r="Q21" s="39">
        <v>5103</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137</v>
      </c>
      <c r="B23" s="44" t="s">
        <v>26</v>
      </c>
      <c r="C23" s="4" t="s">
        <v>110</v>
      </c>
    </row>
    <row r="24" spans="1:20" s="4" customFormat="1" x14ac:dyDescent="0.25">
      <c r="A24" s="40"/>
      <c r="B24" s="45" t="s">
        <v>26</v>
      </c>
      <c r="C24" s="4" t="s">
        <v>29</v>
      </c>
    </row>
    <row r="25" spans="1:20" x14ac:dyDescent="0.25">
      <c r="A25" s="154" t="s">
        <v>240</v>
      </c>
    </row>
  </sheetData>
  <mergeCells count="2">
    <mergeCell ref="N2:Q2"/>
    <mergeCell ref="N3:Q3"/>
  </mergeCells>
  <conditionalFormatting sqref="M5:M15">
    <cfRule type="expression" dxfId="253" priority="51">
      <formula>M5&lt;=1</formula>
    </cfRule>
  </conditionalFormatting>
  <conditionalFormatting sqref="L5:L15 L19:L20 H19:H20 D19:D20 P19:P20">
    <cfRule type="expression" dxfId="252" priority="49">
      <formula>OR(D5&gt;=0.5,E5&lt;=5)</formula>
    </cfRule>
    <cfRule type="expression" dxfId="251" priority="50">
      <formula>E5&lt;=1</formula>
    </cfRule>
  </conditionalFormatting>
  <conditionalFormatting sqref="I5:I15">
    <cfRule type="expression" dxfId="250" priority="48">
      <formula>I5&lt;=1</formula>
    </cfRule>
  </conditionalFormatting>
  <conditionalFormatting sqref="H5:H15">
    <cfRule type="expression" dxfId="249" priority="46">
      <formula>OR(H5&gt;=0.5,I5&lt;=5)</formula>
    </cfRule>
    <cfRule type="expression" dxfId="248" priority="47">
      <formula>I5&lt;=1</formula>
    </cfRule>
  </conditionalFormatting>
  <conditionalFormatting sqref="E5:E15">
    <cfRule type="expression" dxfId="247" priority="45">
      <formula>E5&lt;=1</formula>
    </cfRule>
  </conditionalFormatting>
  <conditionalFormatting sqref="D5:D15">
    <cfRule type="expression" dxfId="246" priority="41">
      <formula>OR(D5&gt;=0.5,E5&lt;=5)</formula>
    </cfRule>
    <cfRule type="expression" dxfId="245" priority="44">
      <formula>E5&lt;=1</formula>
    </cfRule>
  </conditionalFormatting>
  <conditionalFormatting sqref="C5:C15">
    <cfRule type="expression" dxfId="244" priority="40">
      <formula>OR(D5&gt;=0.5,E5&lt;=5)</formula>
    </cfRule>
    <cfRule type="expression" dxfId="243" priority="43">
      <formula>E5&lt;=1</formula>
    </cfRule>
  </conditionalFormatting>
  <conditionalFormatting sqref="B5:B15">
    <cfRule type="expression" dxfId="242" priority="39">
      <formula>OR(D5&gt;=0.5,E5&lt;=5)</formula>
    </cfRule>
    <cfRule type="expression" dxfId="241" priority="42">
      <formula>E5&lt;=1</formula>
    </cfRule>
  </conditionalFormatting>
  <conditionalFormatting sqref="Q6:Q15">
    <cfRule type="expression" dxfId="240" priority="38">
      <formula>Q6&lt;=1</formula>
    </cfRule>
  </conditionalFormatting>
  <conditionalFormatting sqref="O6:O15">
    <cfRule type="expression" dxfId="239" priority="33">
      <formula>OR(P6&gt;=0.5,Q6&lt;=5)</formula>
    </cfRule>
    <cfRule type="expression" dxfId="238" priority="36">
      <formula>Q6&lt;=1</formula>
    </cfRule>
  </conditionalFormatting>
  <conditionalFormatting sqref="M19:M20">
    <cfRule type="expression" dxfId="237" priority="31">
      <formula>M19&lt;=1</formula>
    </cfRule>
  </conditionalFormatting>
  <conditionalFormatting sqref="I19:I20">
    <cfRule type="expression" dxfId="236" priority="30">
      <formula>I19&lt;=1</formula>
    </cfRule>
  </conditionalFormatting>
  <conditionalFormatting sqref="E19:E20">
    <cfRule type="expression" dxfId="235" priority="29">
      <formula>E19&lt;=1</formula>
    </cfRule>
  </conditionalFormatting>
  <conditionalFormatting sqref="Q19:Q20">
    <cfRule type="expression" dxfId="234" priority="28">
      <formula>Q19&lt;=1</formula>
    </cfRule>
  </conditionalFormatting>
  <conditionalFormatting sqref="N5:N16">
    <cfRule type="expression" dxfId="233" priority="32">
      <formula>OR(P5&gt;=0.5,Q5&lt;=5)</formula>
    </cfRule>
    <cfRule type="expression" dxfId="232" priority="35">
      <formula>Q5&lt;=1</formula>
    </cfRule>
  </conditionalFormatting>
  <conditionalFormatting sqref="O5:O16">
    <cfRule type="expression" dxfId="231" priority="26">
      <formula>OR(P5&gt;=0.5,Q5&lt;=5)</formula>
    </cfRule>
    <cfRule type="expression" dxfId="230" priority="27">
      <formula>Q5&lt;=1</formula>
    </cfRule>
  </conditionalFormatting>
  <conditionalFormatting sqref="P5:P16">
    <cfRule type="expression" dxfId="229" priority="34">
      <formula>OR(P5&gt;=0.5,Q5&lt;=5)</formula>
    </cfRule>
    <cfRule type="expression" dxfId="228" priority="37">
      <formula>Q5&lt;=1</formula>
    </cfRule>
  </conditionalFormatting>
  <conditionalFormatting sqref="G5:G15">
    <cfRule type="expression" dxfId="227" priority="23">
      <formula>OR(H5&gt;=0.5,I5&lt;=5)</formula>
    </cfRule>
    <cfRule type="expression" dxfId="226" priority="25">
      <formula>I5&lt;=1</formula>
    </cfRule>
  </conditionalFormatting>
  <conditionalFormatting sqref="F5:F15">
    <cfRule type="expression" dxfId="225" priority="22">
      <formula>OR(H5&gt;=0.5,I5&lt;=5)</formula>
    </cfRule>
    <cfRule type="expression" dxfId="224" priority="24">
      <formula>I5&lt;=1</formula>
    </cfRule>
  </conditionalFormatting>
  <conditionalFormatting sqref="K5:K15">
    <cfRule type="expression" dxfId="223" priority="19">
      <formula>OR(L5&gt;=0.5,M5&lt;=5)</formula>
    </cfRule>
    <cfRule type="expression" dxfId="222" priority="21">
      <formula>M5&lt;=1</formula>
    </cfRule>
  </conditionalFormatting>
  <conditionalFormatting sqref="J5:J15">
    <cfRule type="expression" dxfId="221" priority="18">
      <formula>OR(L5&gt;=0.5,M5&lt;=5)</formula>
    </cfRule>
    <cfRule type="expression" dxfId="220" priority="20">
      <formula>M5&lt;=1</formula>
    </cfRule>
  </conditionalFormatting>
  <conditionalFormatting sqref="K19:K20">
    <cfRule type="expression" dxfId="219" priority="15">
      <formula>OR(L19&gt;=0.5,M19&lt;=5)</formula>
    </cfRule>
    <cfRule type="expression" dxfId="218" priority="17">
      <formula>M19&lt;=1</formula>
    </cfRule>
  </conditionalFormatting>
  <conditionalFormatting sqref="J19:J20">
    <cfRule type="expression" dxfId="217" priority="14">
      <formula>OR(L19&gt;=0.5,M19&lt;=5)</formula>
    </cfRule>
    <cfRule type="expression" dxfId="216" priority="16">
      <formula>M19&lt;=1</formula>
    </cfRule>
  </conditionalFormatting>
  <conditionalFormatting sqref="O19:O20">
    <cfRule type="expression" dxfId="215" priority="11">
      <formula>OR(P19&gt;=0.5,Q19&lt;=5)</formula>
    </cfRule>
    <cfRule type="expression" dxfId="214" priority="13">
      <formula>Q19&lt;=1</formula>
    </cfRule>
  </conditionalFormatting>
  <conditionalFormatting sqref="N19:N20">
    <cfRule type="expression" dxfId="213" priority="10">
      <formula>OR(P19&gt;=0.5,Q19&lt;=5)</formula>
    </cfRule>
    <cfRule type="expression" dxfId="212" priority="12">
      <formula>Q19&lt;=1</formula>
    </cfRule>
  </conditionalFormatting>
  <conditionalFormatting sqref="G19:G20">
    <cfRule type="expression" dxfId="211" priority="7">
      <formula>OR(H19&gt;=0.5,I19&lt;=5)</formula>
    </cfRule>
    <cfRule type="expression" dxfId="210" priority="9">
      <formula>I19&lt;=1</formula>
    </cfRule>
  </conditionalFormatting>
  <conditionalFormatting sqref="F19:F20">
    <cfRule type="expression" dxfId="209" priority="6">
      <formula>OR(H19&gt;=0.5,I19&lt;=5)</formula>
    </cfRule>
    <cfRule type="expression" dxfId="208" priority="8">
      <formula>I19&lt;=1</formula>
    </cfRule>
  </conditionalFormatting>
  <conditionalFormatting sqref="C19:C20">
    <cfRule type="expression" dxfId="207" priority="3">
      <formula>OR(D19&gt;=0.5,E19&lt;=5)</formula>
    </cfRule>
    <cfRule type="expression" dxfId="206" priority="5">
      <formula>E19&lt;=1</formula>
    </cfRule>
  </conditionalFormatting>
  <conditionalFormatting sqref="B19:B20">
    <cfRule type="expression" dxfId="205" priority="2">
      <formula>OR(D19&gt;=0.5,E19&lt;=5)</formula>
    </cfRule>
    <cfRule type="expression" dxfId="204" priority="4">
      <formula>E19&lt;=1</formula>
    </cfRule>
  </conditionalFormatting>
  <conditionalFormatting sqref="Q5">
    <cfRule type="expression" dxfId="203" priority="1">
      <formula>Q5&lt;=1</formula>
    </cfRule>
  </conditionalFormatting>
  <hyperlinks>
    <hyperlink ref="A25" location="Überblick!A1" display="zurück zur Übersicht" xr:uid="{7F1E1899-01B5-4264-ACB2-E9F0A2B586C5}"/>
  </hyperlinks>
  <pageMargins left="0.7" right="0.7" top="0.78740157499999996" bottom="0.78740157499999996"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A7B65-71D7-4413-AE20-C22D04F92FEF}">
  <dimension ref="A1:T25"/>
  <sheetViews>
    <sheetView workbookViewId="0"/>
  </sheetViews>
  <sheetFormatPr baseColWidth="10" defaultRowHeight="15" x14ac:dyDescent="0.25"/>
  <cols>
    <col min="1" max="1" width="115" customWidth="1"/>
  </cols>
  <sheetData>
    <row r="1" spans="1:20" s="4" customFormat="1" x14ac:dyDescent="0.25">
      <c r="A1" s="1" t="s">
        <v>138</v>
      </c>
      <c r="B1" s="2"/>
      <c r="C1" s="2"/>
      <c r="D1" s="2"/>
      <c r="E1" s="2"/>
      <c r="F1" s="2"/>
      <c r="G1" s="2"/>
      <c r="H1" s="2"/>
      <c r="I1" s="2"/>
      <c r="J1" s="2"/>
      <c r="K1" s="2"/>
      <c r="L1" s="2"/>
      <c r="M1" s="2"/>
      <c r="N1" s="2"/>
      <c r="O1" s="2"/>
      <c r="P1" s="2"/>
      <c r="Q1" s="3"/>
    </row>
    <row r="2" spans="1:20" s="4" customFormat="1" ht="30" x14ac:dyDescent="0.25">
      <c r="A2" s="86" t="s">
        <v>139</v>
      </c>
      <c r="B2" s="6" t="s">
        <v>0</v>
      </c>
      <c r="C2" s="7"/>
      <c r="D2" s="7"/>
      <c r="E2" s="7"/>
      <c r="F2" s="7"/>
      <c r="G2" s="7"/>
      <c r="H2" s="7"/>
      <c r="I2" s="7"/>
      <c r="J2" s="7"/>
      <c r="K2" s="7"/>
      <c r="L2" s="7"/>
      <c r="M2" s="8"/>
      <c r="N2" s="170"/>
      <c r="O2" s="171"/>
      <c r="P2" s="171"/>
      <c r="Q2" s="172"/>
    </row>
    <row r="3" spans="1:20" s="4" customFormat="1" ht="30" x14ac:dyDescent="0.25">
      <c r="A3" s="52" t="s">
        <v>140</v>
      </c>
      <c r="B3" s="11" t="s">
        <v>1</v>
      </c>
      <c r="C3" s="12"/>
      <c r="D3" s="12"/>
      <c r="E3" s="13"/>
      <c r="F3" s="11" t="s">
        <v>33</v>
      </c>
      <c r="G3" s="12"/>
      <c r="H3" s="12"/>
      <c r="I3" s="13"/>
      <c r="J3" s="11" t="s">
        <v>3</v>
      </c>
      <c r="K3" s="12"/>
      <c r="L3" s="12"/>
      <c r="M3" s="14"/>
      <c r="N3" s="170" t="s">
        <v>4</v>
      </c>
      <c r="O3" s="171"/>
      <c r="P3" s="171"/>
      <c r="Q3" s="172"/>
    </row>
    <row r="4" spans="1:20" s="4" customFormat="1" ht="60" x14ac:dyDescent="0.25">
      <c r="A4" s="5" t="s">
        <v>5</v>
      </c>
      <c r="B4" s="17" t="s">
        <v>134</v>
      </c>
      <c r="C4" s="18" t="s">
        <v>135</v>
      </c>
      <c r="D4" s="18" t="s">
        <v>8</v>
      </c>
      <c r="E4" s="19" t="s">
        <v>9</v>
      </c>
      <c r="F4" s="17" t="s">
        <v>134</v>
      </c>
      <c r="G4" s="18" t="s">
        <v>135</v>
      </c>
      <c r="H4" s="18" t="s">
        <v>8</v>
      </c>
      <c r="I4" s="19" t="s">
        <v>9</v>
      </c>
      <c r="J4" s="17" t="s">
        <v>134</v>
      </c>
      <c r="K4" s="18" t="s">
        <v>135</v>
      </c>
      <c r="L4" s="18" t="s">
        <v>8</v>
      </c>
      <c r="M4" s="20" t="s">
        <v>9</v>
      </c>
      <c r="N4" s="17" t="s">
        <v>134</v>
      </c>
      <c r="O4" s="18" t="s">
        <v>135</v>
      </c>
      <c r="P4" s="18" t="s">
        <v>8</v>
      </c>
      <c r="Q4" s="19" t="s">
        <v>9</v>
      </c>
    </row>
    <row r="5" spans="1:20" s="4" customFormat="1" x14ac:dyDescent="0.25">
      <c r="A5" s="21" t="s">
        <v>10</v>
      </c>
      <c r="B5" s="22">
        <v>0.77914382680601701</v>
      </c>
      <c r="C5" s="23">
        <v>0.32327299412864541</v>
      </c>
      <c r="D5" s="24">
        <v>0.41490798361819081</v>
      </c>
      <c r="E5" s="25">
        <v>22</v>
      </c>
      <c r="F5" s="22">
        <v>0.63859377631830971</v>
      </c>
      <c r="G5" s="23">
        <v>0.68085379710148985</v>
      </c>
      <c r="H5" s="24">
        <v>1.0661766875130263</v>
      </c>
      <c r="I5" s="25">
        <v>30</v>
      </c>
      <c r="J5" s="22">
        <v>0.64899026328186249</v>
      </c>
      <c r="K5" s="23">
        <v>0.53100796365159697</v>
      </c>
      <c r="L5" s="24">
        <v>0.81820636409297764</v>
      </c>
      <c r="M5" s="25">
        <v>11</v>
      </c>
      <c r="N5" s="22">
        <v>0.73647647188440413</v>
      </c>
      <c r="O5" s="23">
        <v>0.49543159239161672</v>
      </c>
      <c r="P5" s="24">
        <v>0.67270525441765727</v>
      </c>
      <c r="Q5" s="25">
        <v>63</v>
      </c>
      <c r="R5" s="26"/>
      <c r="S5" s="26"/>
      <c r="T5" s="26"/>
    </row>
    <row r="6" spans="1:20" s="4" customFormat="1" x14ac:dyDescent="0.25">
      <c r="A6" s="27" t="s">
        <v>11</v>
      </c>
      <c r="B6" s="28" t="e">
        <v>#DIV/0!</v>
      </c>
      <c r="C6" s="29" t="e">
        <v>#DIV/0!</v>
      </c>
      <c r="D6" s="30" t="e">
        <v>#DIV/0!</v>
      </c>
      <c r="E6" s="31">
        <v>0</v>
      </c>
      <c r="F6" s="28" t="e">
        <v>#DIV/0!</v>
      </c>
      <c r="G6" s="29" t="e">
        <v>#DIV/0!</v>
      </c>
      <c r="H6" s="30" t="e">
        <v>#DIV/0!</v>
      </c>
      <c r="I6" s="31">
        <v>6</v>
      </c>
      <c r="J6" s="28">
        <v>1</v>
      </c>
      <c r="K6" s="29">
        <v>0.47013591230923979</v>
      </c>
      <c r="L6" s="30">
        <v>0.47013591230923979</v>
      </c>
      <c r="M6" s="31">
        <v>1</v>
      </c>
      <c r="N6" s="28">
        <v>0.7670111533662719</v>
      </c>
      <c r="O6" s="29">
        <v>0.52011095448480094</v>
      </c>
      <c r="P6" s="30">
        <v>0.67810090140427415</v>
      </c>
      <c r="Q6" s="31">
        <v>7</v>
      </c>
      <c r="R6" s="26"/>
      <c r="S6" s="26"/>
      <c r="T6" s="26"/>
    </row>
    <row r="7" spans="1:20" s="4" customFormat="1" x14ac:dyDescent="0.25">
      <c r="A7" s="27" t="s">
        <v>12</v>
      </c>
      <c r="B7" s="28">
        <v>0.2164817984268696</v>
      </c>
      <c r="C7" s="29">
        <v>1.2060891016048248E-2</v>
      </c>
      <c r="D7" s="30">
        <v>5.5713187453598212E-2</v>
      </c>
      <c r="E7" s="31">
        <v>1</v>
      </c>
      <c r="F7" s="28">
        <v>0.66353840788661445</v>
      </c>
      <c r="G7" s="29">
        <v>0.31089119656923236</v>
      </c>
      <c r="H7" s="30">
        <v>0.46853534456193452</v>
      </c>
      <c r="I7" s="31">
        <v>2</v>
      </c>
      <c r="J7" s="28" t="e">
        <v>#DIV/0!</v>
      </c>
      <c r="K7" s="29" t="e">
        <v>#DIV/0!</v>
      </c>
      <c r="L7" s="30" t="e">
        <v>#DIV/0!</v>
      </c>
      <c r="M7" s="31">
        <v>0</v>
      </c>
      <c r="N7" s="28">
        <v>0.2368020643580257</v>
      </c>
      <c r="O7" s="29">
        <v>3.0923538416146912E-2</v>
      </c>
      <c r="P7" s="30">
        <v>0.13058812852827587</v>
      </c>
      <c r="Q7" s="31">
        <v>3</v>
      </c>
      <c r="R7" s="26"/>
      <c r="S7" s="26"/>
      <c r="T7" s="26"/>
    </row>
    <row r="8" spans="1:20" s="4" customFormat="1" x14ac:dyDescent="0.25">
      <c r="A8" s="27" t="s">
        <v>13</v>
      </c>
      <c r="B8" s="28">
        <v>0.33010298466047494</v>
      </c>
      <c r="C8" s="29">
        <v>0.13416984163567322</v>
      </c>
      <c r="D8" s="30">
        <v>0.40644843539864584</v>
      </c>
      <c r="E8" s="31">
        <v>16</v>
      </c>
      <c r="F8" s="28">
        <v>0.38554399395916661</v>
      </c>
      <c r="G8" s="29">
        <v>0.22746126028194927</v>
      </c>
      <c r="H8" s="30">
        <v>0.58997485071973377</v>
      </c>
      <c r="I8" s="31">
        <v>6</v>
      </c>
      <c r="J8" s="28">
        <v>0.21648179842687051</v>
      </c>
      <c r="K8" s="29">
        <v>0.11098687495962975</v>
      </c>
      <c r="L8" s="30">
        <v>0.51268455715976557</v>
      </c>
      <c r="M8" s="31">
        <v>4</v>
      </c>
      <c r="N8" s="28">
        <v>0.33125731476302672</v>
      </c>
      <c r="O8" s="29">
        <v>0.10696291158650238</v>
      </c>
      <c r="P8" s="30">
        <v>0.32289977253187901</v>
      </c>
      <c r="Q8" s="31">
        <v>26</v>
      </c>
      <c r="R8" s="26"/>
      <c r="S8" s="26"/>
      <c r="T8" s="26"/>
    </row>
    <row r="9" spans="1:20" s="4" customFormat="1" x14ac:dyDescent="0.25">
      <c r="A9" s="27" t="s">
        <v>14</v>
      </c>
      <c r="B9" s="28">
        <v>0.29786311080135269</v>
      </c>
      <c r="C9" s="29">
        <v>8.2789377037022049E-2</v>
      </c>
      <c r="D9" s="30">
        <v>0.2779443779200807</v>
      </c>
      <c r="E9" s="31">
        <v>23</v>
      </c>
      <c r="F9" s="28">
        <v>0.89669785666724611</v>
      </c>
      <c r="G9" s="29">
        <v>0.88582558004674194</v>
      </c>
      <c r="H9" s="30">
        <v>0.98787520619162272</v>
      </c>
      <c r="I9" s="31">
        <v>12</v>
      </c>
      <c r="J9" s="28" t="e">
        <v>#DIV/0!</v>
      </c>
      <c r="K9" s="29" t="e">
        <v>#DIV/0!</v>
      </c>
      <c r="L9" s="30" t="e">
        <v>#DIV/0!</v>
      </c>
      <c r="M9" s="31">
        <v>3</v>
      </c>
      <c r="N9" s="28">
        <v>0.34597436212437005</v>
      </c>
      <c r="O9" s="29">
        <v>0.10510026452217139</v>
      </c>
      <c r="P9" s="30">
        <v>0.30378049944750007</v>
      </c>
      <c r="Q9" s="31">
        <v>38</v>
      </c>
      <c r="R9" s="26"/>
      <c r="S9" s="26"/>
      <c r="T9" s="26"/>
    </row>
    <row r="10" spans="1:20" s="4" customFormat="1" x14ac:dyDescent="0.25">
      <c r="A10" s="27" t="s">
        <v>15</v>
      </c>
      <c r="B10" s="28" t="e">
        <v>#DIV/0!</v>
      </c>
      <c r="C10" s="29" t="e">
        <v>#DIV/0!</v>
      </c>
      <c r="D10" s="30" t="e">
        <v>#DIV/0!</v>
      </c>
      <c r="E10" s="31">
        <v>5</v>
      </c>
      <c r="F10" s="28">
        <v>0.52456588662576742</v>
      </c>
      <c r="G10" s="29">
        <v>0.42471871941151873</v>
      </c>
      <c r="H10" s="30">
        <v>0.80965752871101004</v>
      </c>
      <c r="I10" s="31">
        <v>6</v>
      </c>
      <c r="J10" s="28" t="e">
        <v>#DIV/0!</v>
      </c>
      <c r="K10" s="29" t="e">
        <v>#DIV/0!</v>
      </c>
      <c r="L10" s="30" t="e">
        <v>#DIV/0!</v>
      </c>
      <c r="M10" s="31">
        <v>1</v>
      </c>
      <c r="N10" s="28">
        <v>0.30684639601812463</v>
      </c>
      <c r="O10" s="29">
        <v>0.36764034606178225</v>
      </c>
      <c r="P10" s="30">
        <v>1.1981250255260181</v>
      </c>
      <c r="Q10" s="31">
        <v>12</v>
      </c>
      <c r="R10" s="26"/>
      <c r="S10" s="26"/>
      <c r="T10" s="26"/>
    </row>
    <row r="11" spans="1:20" s="4" customFormat="1" x14ac:dyDescent="0.25">
      <c r="A11" s="27" t="s">
        <v>16</v>
      </c>
      <c r="B11" s="28">
        <v>0.28349097267121104</v>
      </c>
      <c r="C11" s="29">
        <v>9.9433922556997234E-2</v>
      </c>
      <c r="D11" s="30">
        <v>0.35074810890828378</v>
      </c>
      <c r="E11" s="31">
        <v>6</v>
      </c>
      <c r="F11" s="28">
        <v>0.6747721726720679</v>
      </c>
      <c r="G11" s="29">
        <v>0.92932700768558407</v>
      </c>
      <c r="H11" s="30">
        <v>1.3772456027721036</v>
      </c>
      <c r="I11" s="31">
        <v>7</v>
      </c>
      <c r="J11" s="28" t="e">
        <v>#DIV/0!</v>
      </c>
      <c r="K11" s="29" t="e">
        <v>#DIV/0!</v>
      </c>
      <c r="L11" s="30" t="e">
        <v>#DIV/0!</v>
      </c>
      <c r="M11" s="31">
        <v>1</v>
      </c>
      <c r="N11" s="28">
        <v>0.6387319767097811</v>
      </c>
      <c r="O11" s="29">
        <v>0.84700647777579441</v>
      </c>
      <c r="P11" s="30">
        <v>1.3260749557879836</v>
      </c>
      <c r="Q11" s="31">
        <v>14</v>
      </c>
      <c r="R11" s="26"/>
      <c r="S11" s="26"/>
      <c r="T11" s="26"/>
    </row>
    <row r="12" spans="1:20" s="4" customFormat="1" x14ac:dyDescent="0.25">
      <c r="A12" s="27" t="s">
        <v>17</v>
      </c>
      <c r="B12" s="28">
        <v>0.25265877466012721</v>
      </c>
      <c r="C12" s="29">
        <v>0.20057401890323234</v>
      </c>
      <c r="D12" s="30">
        <v>0.79385336675142792</v>
      </c>
      <c r="E12" s="31">
        <v>42</v>
      </c>
      <c r="F12" s="28">
        <v>0.74314704750172889</v>
      </c>
      <c r="G12" s="29">
        <v>0.59273221847878399</v>
      </c>
      <c r="H12" s="30">
        <v>0.79759748823789145</v>
      </c>
      <c r="I12" s="31">
        <v>46</v>
      </c>
      <c r="J12" s="28">
        <v>0.22966003328743967</v>
      </c>
      <c r="K12" s="29">
        <v>0.11946507873970239</v>
      </c>
      <c r="L12" s="30">
        <v>0.5201822756429777</v>
      </c>
      <c r="M12" s="31">
        <v>6</v>
      </c>
      <c r="N12" s="28">
        <v>0.28283022476032788</v>
      </c>
      <c r="O12" s="29">
        <v>0.27445031932652636</v>
      </c>
      <c r="P12" s="30">
        <v>0.97037125207921926</v>
      </c>
      <c r="Q12" s="31">
        <v>94</v>
      </c>
      <c r="R12" s="26"/>
      <c r="S12" s="26"/>
      <c r="T12" s="26"/>
    </row>
    <row r="13" spans="1:20" s="4" customFormat="1" x14ac:dyDescent="0.25">
      <c r="A13" s="27" t="s">
        <v>18</v>
      </c>
      <c r="B13" s="28" t="e">
        <v>#DIV/0!</v>
      </c>
      <c r="C13" s="29" t="e">
        <v>#DIV/0!</v>
      </c>
      <c r="D13" s="30" t="e">
        <v>#DIV/0!</v>
      </c>
      <c r="E13" s="31">
        <v>4</v>
      </c>
      <c r="F13" s="28" t="e">
        <v>#DIV/0!</v>
      </c>
      <c r="G13" s="29" t="e">
        <v>#DIV/0!</v>
      </c>
      <c r="H13" s="30" t="e">
        <v>#DIV/0!</v>
      </c>
      <c r="I13" s="31">
        <v>9</v>
      </c>
      <c r="J13" s="28" t="e">
        <v>#DIV/0!</v>
      </c>
      <c r="K13" s="29" t="e">
        <v>#DIV/0!</v>
      </c>
      <c r="L13" s="30" t="e">
        <v>#DIV/0!</v>
      </c>
      <c r="M13" s="31">
        <v>4</v>
      </c>
      <c r="N13" s="28" t="e">
        <v>#DIV/0!</v>
      </c>
      <c r="O13" s="29" t="e">
        <v>#DIV/0!</v>
      </c>
      <c r="P13" s="30" t="e">
        <v>#DIV/0!</v>
      </c>
      <c r="Q13" s="31">
        <v>17</v>
      </c>
      <c r="R13" s="26"/>
      <c r="S13" s="26"/>
      <c r="T13" s="26"/>
    </row>
    <row r="14" spans="1:20" s="4" customFormat="1" x14ac:dyDescent="0.25">
      <c r="A14" s="27" t="s">
        <v>19</v>
      </c>
      <c r="B14" s="32">
        <v>0.74406050137878355</v>
      </c>
      <c r="C14" s="33">
        <v>0.43454015488622283</v>
      </c>
      <c r="D14" s="30">
        <v>0.58401185667159716</v>
      </c>
      <c r="E14" s="31">
        <v>5</v>
      </c>
      <c r="F14" s="32">
        <v>0.22548725864563532</v>
      </c>
      <c r="G14" s="33">
        <v>1.7550331746025584E-2</v>
      </c>
      <c r="H14" s="30">
        <v>7.783291992390054E-2</v>
      </c>
      <c r="I14" s="31">
        <v>6</v>
      </c>
      <c r="J14" s="32" t="e">
        <v>#DIV/0!</v>
      </c>
      <c r="K14" s="33" t="e">
        <v>#DIV/0!</v>
      </c>
      <c r="L14" s="30" t="e">
        <v>#DIV/0!</v>
      </c>
      <c r="M14" s="31">
        <v>1</v>
      </c>
      <c r="N14" s="32">
        <v>0.26587489822579125</v>
      </c>
      <c r="O14" s="33">
        <v>5.1208126741158391E-2</v>
      </c>
      <c r="P14" s="30">
        <v>0.19260233697455134</v>
      </c>
      <c r="Q14" s="31">
        <v>12</v>
      </c>
      <c r="R14" s="26"/>
      <c r="S14" s="26"/>
      <c r="T14" s="26"/>
    </row>
    <row r="15" spans="1:20" s="4" customFormat="1" ht="15.75" thickBot="1" x14ac:dyDescent="0.3">
      <c r="A15" s="27" t="s">
        <v>20</v>
      </c>
      <c r="B15" s="32">
        <v>0.21689767949200656</v>
      </c>
      <c r="C15" s="34">
        <v>0.13296311464106053</v>
      </c>
      <c r="D15" s="30">
        <v>0.61302230135643609</v>
      </c>
      <c r="E15" s="31">
        <v>3</v>
      </c>
      <c r="F15" s="32" t="e">
        <v>#DIV/0!</v>
      </c>
      <c r="G15" s="34" t="e">
        <v>#DIV/0!</v>
      </c>
      <c r="H15" s="30" t="e">
        <v>#DIV/0!</v>
      </c>
      <c r="I15" s="31">
        <v>3</v>
      </c>
      <c r="J15" s="32" t="e">
        <v>#DIV/0!</v>
      </c>
      <c r="K15" s="34" t="e">
        <v>#DIV/0!</v>
      </c>
      <c r="L15" s="30" t="e">
        <v>#DIV/0!</v>
      </c>
      <c r="M15" s="31">
        <v>0</v>
      </c>
      <c r="N15" s="32">
        <v>0.22807409407625179</v>
      </c>
      <c r="O15" s="34">
        <v>0.1071683465553443</v>
      </c>
      <c r="P15" s="30">
        <v>0.46988390763711552</v>
      </c>
      <c r="Q15" s="31">
        <v>6</v>
      </c>
      <c r="R15" s="26"/>
      <c r="S15" s="26"/>
      <c r="T15" s="26"/>
    </row>
    <row r="16" spans="1:20" s="4" customFormat="1" ht="15.75" thickTop="1" x14ac:dyDescent="0.25">
      <c r="A16" s="35" t="s">
        <v>4</v>
      </c>
      <c r="B16" s="36">
        <v>0.33212141119474242</v>
      </c>
      <c r="C16" s="37">
        <v>9.4675810325335605E-2</v>
      </c>
      <c r="D16" s="38">
        <v>0.28506385657208222</v>
      </c>
      <c r="E16" s="39">
        <v>127</v>
      </c>
      <c r="F16" s="36">
        <v>0.51201646912669718</v>
      </c>
      <c r="G16" s="37">
        <v>0.26560023606111743</v>
      </c>
      <c r="H16" s="38">
        <v>0.51873377532978404</v>
      </c>
      <c r="I16" s="39">
        <v>133</v>
      </c>
      <c r="J16" s="36">
        <v>0.66855814708001937</v>
      </c>
      <c r="K16" s="37">
        <v>0.40921008858820024</v>
      </c>
      <c r="L16" s="38">
        <v>0.61207853105291987</v>
      </c>
      <c r="M16" s="39">
        <v>32</v>
      </c>
      <c r="N16" s="92">
        <v>0.385408457784507</v>
      </c>
      <c r="O16" s="37">
        <v>0.13960431614441585</v>
      </c>
      <c r="P16" s="38">
        <v>0.36222431896518642</v>
      </c>
      <c r="Q16" s="39">
        <v>292</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60" x14ac:dyDescent="0.25">
      <c r="A18" s="5" t="s">
        <v>45</v>
      </c>
      <c r="B18" s="17" t="s">
        <v>134</v>
      </c>
      <c r="C18" s="18" t="s">
        <v>135</v>
      </c>
      <c r="D18" s="18" t="s">
        <v>8</v>
      </c>
      <c r="E18" s="19" t="s">
        <v>9</v>
      </c>
      <c r="F18" s="17" t="s">
        <v>134</v>
      </c>
      <c r="G18" s="18" t="s">
        <v>135</v>
      </c>
      <c r="H18" s="18" t="s">
        <v>8</v>
      </c>
      <c r="I18" s="19" t="s">
        <v>9</v>
      </c>
      <c r="J18" s="17" t="s">
        <v>134</v>
      </c>
      <c r="K18" s="18" t="s">
        <v>135</v>
      </c>
      <c r="L18" s="18" t="s">
        <v>8</v>
      </c>
      <c r="M18" s="20" t="s">
        <v>9</v>
      </c>
      <c r="N18" s="17" t="s">
        <v>134</v>
      </c>
      <c r="O18" s="18" t="s">
        <v>135</v>
      </c>
      <c r="P18" s="18" t="s">
        <v>8</v>
      </c>
      <c r="Q18" s="19" t="s">
        <v>9</v>
      </c>
    </row>
    <row r="19" spans="1:20" s="4" customFormat="1" x14ac:dyDescent="0.25">
      <c r="A19" s="50" t="s">
        <v>22</v>
      </c>
      <c r="B19" s="32">
        <v>0.37630213956910158</v>
      </c>
      <c r="C19" s="33">
        <v>8.3364932245786796E-2</v>
      </c>
      <c r="D19" s="24">
        <v>0.22153722628642727</v>
      </c>
      <c r="E19" s="25">
        <v>77</v>
      </c>
      <c r="F19" s="32">
        <v>0.70014340310063594</v>
      </c>
      <c r="G19" s="33">
        <v>0.51255030598376805</v>
      </c>
      <c r="H19" s="24">
        <v>0.7320647508980328</v>
      </c>
      <c r="I19" s="25">
        <v>78</v>
      </c>
      <c r="J19" s="32">
        <v>0.68810539867927134</v>
      </c>
      <c r="K19" s="33">
        <v>0.42984963363495532</v>
      </c>
      <c r="L19" s="24">
        <v>0.62468574503265883</v>
      </c>
      <c r="M19" s="25">
        <v>25</v>
      </c>
      <c r="N19" s="32">
        <v>0.46172949018012038</v>
      </c>
      <c r="O19" s="33">
        <v>0.21650999567955431</v>
      </c>
      <c r="P19" s="24">
        <v>0.46891091057470446</v>
      </c>
      <c r="Q19" s="25">
        <v>180</v>
      </c>
      <c r="R19" s="26"/>
      <c r="S19" s="26"/>
      <c r="T19" s="26"/>
    </row>
    <row r="20" spans="1:20" s="4" customFormat="1" ht="15.75" thickBot="1" x14ac:dyDescent="0.3">
      <c r="A20" s="51" t="s">
        <v>23</v>
      </c>
      <c r="B20" s="32">
        <v>0.26116610647550198</v>
      </c>
      <c r="C20" s="34">
        <v>0.16738459077840145</v>
      </c>
      <c r="D20" s="30">
        <v>0.64091237962420111</v>
      </c>
      <c r="E20" s="31">
        <v>50</v>
      </c>
      <c r="F20" s="32">
        <v>0.29126483737229436</v>
      </c>
      <c r="G20" s="34">
        <v>0.24124449040756377</v>
      </c>
      <c r="H20" s="30">
        <v>0.8282650682588415</v>
      </c>
      <c r="I20" s="31">
        <v>55</v>
      </c>
      <c r="J20" s="32">
        <v>0.22666835968257193</v>
      </c>
      <c r="K20" s="34">
        <v>9.5833938831719451E-2</v>
      </c>
      <c r="L20" s="30">
        <v>0.42279363103842998</v>
      </c>
      <c r="M20" s="31">
        <v>7</v>
      </c>
      <c r="N20" s="32">
        <v>0.27039212138321406</v>
      </c>
      <c r="O20" s="34">
        <v>0.16911595155157308</v>
      </c>
      <c r="P20" s="30">
        <v>0.62544703849522665</v>
      </c>
      <c r="Q20" s="31">
        <v>112</v>
      </c>
      <c r="R20" s="26"/>
      <c r="S20" s="26"/>
      <c r="T20" s="26"/>
    </row>
    <row r="21" spans="1:20" s="4" customFormat="1" ht="15.75" thickTop="1" x14ac:dyDescent="0.25">
      <c r="A21" s="35" t="s">
        <v>4</v>
      </c>
      <c r="B21" s="36">
        <v>0.33212141119474242</v>
      </c>
      <c r="C21" s="37">
        <v>9.4675810325335605E-2</v>
      </c>
      <c r="D21" s="38">
        <v>0.28506385657208222</v>
      </c>
      <c r="E21" s="39">
        <v>127</v>
      </c>
      <c r="F21" s="36">
        <v>0.51201646912669718</v>
      </c>
      <c r="G21" s="37">
        <v>0.26560023606111743</v>
      </c>
      <c r="H21" s="38">
        <v>0.51873377532978404</v>
      </c>
      <c r="I21" s="39">
        <v>133</v>
      </c>
      <c r="J21" s="36">
        <v>0.66855814708001937</v>
      </c>
      <c r="K21" s="37">
        <v>0.40921008858820024</v>
      </c>
      <c r="L21" s="38">
        <v>0.61207853105291987</v>
      </c>
      <c r="M21" s="39">
        <v>32</v>
      </c>
      <c r="N21" s="92">
        <v>0.385408457784507</v>
      </c>
      <c r="O21" s="37">
        <v>0.13960431614441585</v>
      </c>
      <c r="P21" s="38">
        <v>0.36222431896518642</v>
      </c>
      <c r="Q21" s="39">
        <v>292</v>
      </c>
    </row>
    <row r="22" spans="1:20" s="4" customFormat="1" x14ac:dyDescent="0.25">
      <c r="A22" s="40"/>
      <c r="B22" s="41"/>
      <c r="C22" s="41"/>
      <c r="D22" s="41"/>
      <c r="E22" s="41"/>
      <c r="F22" s="41"/>
      <c r="G22" s="41"/>
      <c r="H22" s="41"/>
      <c r="I22" s="41"/>
      <c r="J22" s="41"/>
      <c r="K22" s="41"/>
      <c r="L22" s="41"/>
      <c r="M22" s="41"/>
      <c r="N22" s="41"/>
      <c r="O22" s="41"/>
      <c r="P22" s="41"/>
      <c r="Q22" s="41"/>
    </row>
    <row r="23" spans="1:20" s="4" customFormat="1" x14ac:dyDescent="0.25">
      <c r="A23" s="40" t="s">
        <v>137</v>
      </c>
      <c r="B23" s="44" t="s">
        <v>26</v>
      </c>
      <c r="C23" s="4" t="s">
        <v>110</v>
      </c>
    </row>
    <row r="24" spans="1:20" s="4" customFormat="1" x14ac:dyDescent="0.25">
      <c r="A24" s="40"/>
      <c r="B24" s="45" t="s">
        <v>26</v>
      </c>
      <c r="C24" s="4" t="s">
        <v>29</v>
      </c>
    </row>
    <row r="25" spans="1:20" x14ac:dyDescent="0.25">
      <c r="A25" s="154" t="s">
        <v>240</v>
      </c>
    </row>
  </sheetData>
  <mergeCells count="2">
    <mergeCell ref="N2:Q2"/>
    <mergeCell ref="N3:Q3"/>
  </mergeCells>
  <conditionalFormatting sqref="M5:M15">
    <cfRule type="expression" dxfId="202" priority="51">
      <formula>M5&lt;=1</formula>
    </cfRule>
  </conditionalFormatting>
  <conditionalFormatting sqref="L5:L15 L19:L20 H19:H20 D19:D20 P19:P20">
    <cfRule type="expression" dxfId="201" priority="49">
      <formula>OR(D5&gt;=0.5,E5&lt;=5)</formula>
    </cfRule>
    <cfRule type="expression" dxfId="200" priority="50">
      <formula>E5&lt;=1</formula>
    </cfRule>
  </conditionalFormatting>
  <conditionalFormatting sqref="I5:I15">
    <cfRule type="expression" dxfId="199" priority="48">
      <formula>I5&lt;=1</formula>
    </cfRule>
  </conditionalFormatting>
  <conditionalFormatting sqref="H5:H15">
    <cfRule type="expression" dxfId="198" priority="46">
      <formula>OR(H5&gt;=0.5,I5&lt;=5)</formula>
    </cfRule>
    <cfRule type="expression" dxfId="197" priority="47">
      <formula>I5&lt;=1</formula>
    </cfRule>
  </conditionalFormatting>
  <conditionalFormatting sqref="E5:E15">
    <cfRule type="expression" dxfId="196" priority="45">
      <formula>E5&lt;=1</formula>
    </cfRule>
  </conditionalFormatting>
  <conditionalFormatting sqref="D5:D15">
    <cfRule type="expression" dxfId="195" priority="41">
      <formula>OR(D5&gt;=0.5,E5&lt;=5)</formula>
    </cfRule>
    <cfRule type="expression" dxfId="194" priority="44">
      <formula>E5&lt;=1</formula>
    </cfRule>
  </conditionalFormatting>
  <conditionalFormatting sqref="C5:C15">
    <cfRule type="expression" dxfId="193" priority="40">
      <formula>OR(D5&gt;=0.5,E5&lt;=5)</formula>
    </cfRule>
    <cfRule type="expression" dxfId="192" priority="43">
      <formula>E5&lt;=1</formula>
    </cfRule>
  </conditionalFormatting>
  <conditionalFormatting sqref="B5:B15">
    <cfRule type="expression" dxfId="191" priority="39">
      <formula>OR(D5&gt;=0.5,E5&lt;=5)</formula>
    </cfRule>
    <cfRule type="expression" dxfId="190" priority="42">
      <formula>E5&lt;=1</formula>
    </cfRule>
  </conditionalFormatting>
  <conditionalFormatting sqref="Q6:Q15">
    <cfRule type="expression" dxfId="189" priority="38">
      <formula>Q6&lt;=1</formula>
    </cfRule>
  </conditionalFormatting>
  <conditionalFormatting sqref="O6:O15">
    <cfRule type="expression" dxfId="188" priority="33">
      <formula>OR(P6&gt;=0.5,Q6&lt;=5)</formula>
    </cfRule>
    <cfRule type="expression" dxfId="187" priority="36">
      <formula>Q6&lt;=1</formula>
    </cfRule>
  </conditionalFormatting>
  <conditionalFormatting sqref="M19:M20">
    <cfRule type="expression" dxfId="186" priority="31">
      <formula>M19&lt;=1</formula>
    </cfRule>
  </conditionalFormatting>
  <conditionalFormatting sqref="I19:I20">
    <cfRule type="expression" dxfId="185" priority="30">
      <formula>I19&lt;=1</formula>
    </cfRule>
  </conditionalFormatting>
  <conditionalFormatting sqref="E19:E20">
    <cfRule type="expression" dxfId="184" priority="29">
      <formula>E19&lt;=1</formula>
    </cfRule>
  </conditionalFormatting>
  <conditionalFormatting sqref="Q19:Q20">
    <cfRule type="expression" dxfId="183" priority="28">
      <formula>Q19&lt;=1</formula>
    </cfRule>
  </conditionalFormatting>
  <conditionalFormatting sqref="N5:N16">
    <cfRule type="expression" dxfId="182" priority="32">
      <formula>OR(P5&gt;=0.5,Q5&lt;=5)</formula>
    </cfRule>
    <cfRule type="expression" dxfId="181" priority="35">
      <formula>Q5&lt;=1</formula>
    </cfRule>
  </conditionalFormatting>
  <conditionalFormatting sqref="O5:O16">
    <cfRule type="expression" dxfId="180" priority="26">
      <formula>OR(P5&gt;=0.5,Q5&lt;=5)</formula>
    </cfRule>
    <cfRule type="expression" dxfId="179" priority="27">
      <formula>Q5&lt;=1</formula>
    </cfRule>
  </conditionalFormatting>
  <conditionalFormatting sqref="P5:P16">
    <cfRule type="expression" dxfId="178" priority="34">
      <formula>OR(P5&gt;=0.5,Q5&lt;=5)</formula>
    </cfRule>
    <cfRule type="expression" dxfId="177" priority="37">
      <formula>Q5&lt;=1</formula>
    </cfRule>
  </conditionalFormatting>
  <conditionalFormatting sqref="G5:G15">
    <cfRule type="expression" dxfId="176" priority="23">
      <formula>OR(H5&gt;=0.5,I5&lt;=5)</formula>
    </cfRule>
    <cfRule type="expression" dxfId="175" priority="25">
      <formula>I5&lt;=1</formula>
    </cfRule>
  </conditionalFormatting>
  <conditionalFormatting sqref="F5:F15">
    <cfRule type="expression" dxfId="174" priority="22">
      <formula>OR(H5&gt;=0.5,I5&lt;=5)</formula>
    </cfRule>
    <cfRule type="expression" dxfId="173" priority="24">
      <formula>I5&lt;=1</formula>
    </cfRule>
  </conditionalFormatting>
  <conditionalFormatting sqref="K5:K15">
    <cfRule type="expression" dxfId="172" priority="19">
      <formula>OR(L5&gt;=0.5,M5&lt;=5)</formula>
    </cfRule>
    <cfRule type="expression" dxfId="171" priority="21">
      <formula>M5&lt;=1</formula>
    </cfRule>
  </conditionalFormatting>
  <conditionalFormatting sqref="J5:J15">
    <cfRule type="expression" dxfId="170" priority="18">
      <formula>OR(L5&gt;=0.5,M5&lt;=5)</formula>
    </cfRule>
    <cfRule type="expression" dxfId="169" priority="20">
      <formula>M5&lt;=1</formula>
    </cfRule>
  </conditionalFormatting>
  <conditionalFormatting sqref="K19:K20">
    <cfRule type="expression" dxfId="168" priority="15">
      <formula>OR(L19&gt;=0.5,M19&lt;=5)</formula>
    </cfRule>
    <cfRule type="expression" dxfId="167" priority="17">
      <formula>M19&lt;=1</formula>
    </cfRule>
  </conditionalFormatting>
  <conditionalFormatting sqref="J19:J20">
    <cfRule type="expression" dxfId="166" priority="14">
      <formula>OR(L19&gt;=0.5,M19&lt;=5)</formula>
    </cfRule>
    <cfRule type="expression" dxfId="165" priority="16">
      <formula>M19&lt;=1</formula>
    </cfRule>
  </conditionalFormatting>
  <conditionalFormatting sqref="O19:O20">
    <cfRule type="expression" dxfId="164" priority="11">
      <formula>OR(P19&gt;=0.5,Q19&lt;=5)</formula>
    </cfRule>
    <cfRule type="expression" dxfId="163" priority="13">
      <formula>Q19&lt;=1</formula>
    </cfRule>
  </conditionalFormatting>
  <conditionalFormatting sqref="N19:N20">
    <cfRule type="expression" dxfId="162" priority="10">
      <formula>OR(P19&gt;=0.5,Q19&lt;=5)</formula>
    </cfRule>
    <cfRule type="expression" dxfId="161" priority="12">
      <formula>Q19&lt;=1</formula>
    </cfRule>
  </conditionalFormatting>
  <conditionalFormatting sqref="G19:G20">
    <cfRule type="expression" dxfId="160" priority="7">
      <formula>OR(H19&gt;=0.5,I19&lt;=5)</formula>
    </cfRule>
    <cfRule type="expression" dxfId="159" priority="9">
      <formula>I19&lt;=1</formula>
    </cfRule>
  </conditionalFormatting>
  <conditionalFormatting sqref="F19:F20">
    <cfRule type="expression" dxfId="158" priority="6">
      <formula>OR(H19&gt;=0.5,I19&lt;=5)</formula>
    </cfRule>
    <cfRule type="expression" dxfId="157" priority="8">
      <formula>I19&lt;=1</formula>
    </cfRule>
  </conditionalFormatting>
  <conditionalFormatting sqref="C19:C20">
    <cfRule type="expression" dxfId="156" priority="3">
      <formula>OR(D19&gt;=0.5,E19&lt;=5)</formula>
    </cfRule>
    <cfRule type="expression" dxfId="155" priority="5">
      <formula>E19&lt;=1</formula>
    </cfRule>
  </conditionalFormatting>
  <conditionalFormatting sqref="B19:B20">
    <cfRule type="expression" dxfId="154" priority="2">
      <formula>OR(D19&gt;=0.5,E19&lt;=5)</formula>
    </cfRule>
    <cfRule type="expression" dxfId="153" priority="4">
      <formula>E19&lt;=1</formula>
    </cfRule>
  </conditionalFormatting>
  <conditionalFormatting sqref="Q5">
    <cfRule type="expression" dxfId="152" priority="1">
      <formula>Q5&lt;=1</formula>
    </cfRule>
  </conditionalFormatting>
  <hyperlinks>
    <hyperlink ref="A25" location="Überblick!A1" display="zurück zur Übersicht" xr:uid="{2EC5484C-AA3E-4F34-B0A1-2E76A4DF5A6D}"/>
  </hyperlinks>
  <pageMargins left="0.7" right="0.7" top="0.78740157499999996" bottom="0.78740157499999996"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4C4D2-2819-4BF0-B7C8-965A036D1957}">
  <dimension ref="A1:T25"/>
  <sheetViews>
    <sheetView zoomScaleNormal="100" workbookViewId="0">
      <selection activeCell="Q24" sqref="Q24"/>
    </sheetView>
  </sheetViews>
  <sheetFormatPr baseColWidth="10" defaultRowHeight="15" x14ac:dyDescent="0.25"/>
  <cols>
    <col min="1" max="1" width="66.5703125" customWidth="1"/>
  </cols>
  <sheetData>
    <row r="1" spans="1:20" s="4" customFormat="1" x14ac:dyDescent="0.25">
      <c r="A1" s="1" t="s">
        <v>280</v>
      </c>
      <c r="B1" s="2"/>
      <c r="C1" s="2"/>
      <c r="D1" s="2"/>
      <c r="E1" s="2"/>
      <c r="F1" s="2"/>
      <c r="G1" s="2"/>
      <c r="H1" s="2"/>
      <c r="I1" s="2"/>
      <c r="J1" s="2"/>
      <c r="K1" s="2"/>
      <c r="L1" s="2"/>
      <c r="M1" s="2"/>
      <c r="N1" s="2"/>
      <c r="O1" s="2"/>
      <c r="P1" s="2"/>
      <c r="Q1" s="3"/>
    </row>
    <row r="2" spans="1:20" s="4" customFormat="1" ht="45" x14ac:dyDescent="0.25">
      <c r="A2" s="86" t="s">
        <v>141</v>
      </c>
      <c r="B2" s="6" t="s">
        <v>0</v>
      </c>
      <c r="C2" s="7"/>
      <c r="D2" s="7"/>
      <c r="E2" s="7"/>
      <c r="F2" s="7"/>
      <c r="G2" s="7"/>
      <c r="H2" s="7"/>
      <c r="I2" s="7"/>
      <c r="J2" s="7"/>
      <c r="K2" s="7"/>
      <c r="L2" s="7"/>
      <c r="M2" s="8"/>
      <c r="N2" s="170"/>
      <c r="O2" s="171"/>
      <c r="P2" s="171"/>
      <c r="Q2" s="172"/>
    </row>
    <row r="3" spans="1:20" s="4" customFormat="1" ht="30" x14ac:dyDescent="0.25">
      <c r="A3" s="52" t="s">
        <v>142</v>
      </c>
      <c r="B3" s="11" t="s">
        <v>1</v>
      </c>
      <c r="C3" s="12"/>
      <c r="D3" s="12"/>
      <c r="E3" s="13"/>
      <c r="F3" s="11" t="s">
        <v>33</v>
      </c>
      <c r="G3" s="12"/>
      <c r="H3" s="12"/>
      <c r="I3" s="13"/>
      <c r="J3" s="11" t="s">
        <v>3</v>
      </c>
      <c r="K3" s="12"/>
      <c r="L3" s="12"/>
      <c r="M3" s="14"/>
      <c r="N3" s="170" t="s">
        <v>4</v>
      </c>
      <c r="O3" s="171"/>
      <c r="P3" s="171"/>
      <c r="Q3" s="172"/>
    </row>
    <row r="4" spans="1:20" s="4" customFormat="1" ht="60" x14ac:dyDescent="0.25">
      <c r="A4" s="5" t="s">
        <v>5</v>
      </c>
      <c r="B4" s="17" t="s">
        <v>134</v>
      </c>
      <c r="C4" s="18" t="s">
        <v>135</v>
      </c>
      <c r="D4" s="18" t="s">
        <v>8</v>
      </c>
      <c r="E4" s="19" t="s">
        <v>9</v>
      </c>
      <c r="F4" s="17" t="s">
        <v>134</v>
      </c>
      <c r="G4" s="18" t="s">
        <v>135</v>
      </c>
      <c r="H4" s="18" t="s">
        <v>8</v>
      </c>
      <c r="I4" s="19" t="s">
        <v>9</v>
      </c>
      <c r="J4" s="17" t="s">
        <v>134</v>
      </c>
      <c r="K4" s="18" t="s">
        <v>135</v>
      </c>
      <c r="L4" s="18" t="s">
        <v>8</v>
      </c>
      <c r="M4" s="20" t="s">
        <v>9</v>
      </c>
      <c r="N4" s="17" t="s">
        <v>134</v>
      </c>
      <c r="O4" s="18" t="s">
        <v>135</v>
      </c>
      <c r="P4" s="18" t="s">
        <v>8</v>
      </c>
      <c r="Q4" s="19" t="s">
        <v>9</v>
      </c>
    </row>
    <row r="5" spans="1:20" s="4" customFormat="1" x14ac:dyDescent="0.25">
      <c r="A5" s="21" t="s">
        <v>10</v>
      </c>
      <c r="B5" s="22">
        <v>1.0529270308149643</v>
      </c>
      <c r="C5" s="23">
        <v>0.37161965230588129</v>
      </c>
      <c r="D5" s="24">
        <v>0.35293960685789222</v>
      </c>
      <c r="E5" s="25">
        <v>610</v>
      </c>
      <c r="F5" s="22">
        <v>1.0563955372627762</v>
      </c>
      <c r="G5" s="23">
        <v>0.377041126393798</v>
      </c>
      <c r="H5" s="24">
        <v>0.35691283529155027</v>
      </c>
      <c r="I5" s="25">
        <v>321</v>
      </c>
      <c r="J5" s="22">
        <v>1.0530312184424448</v>
      </c>
      <c r="K5" s="23">
        <v>0.34378233407795578</v>
      </c>
      <c r="L5" s="24">
        <v>0.32646927086022165</v>
      </c>
      <c r="M5" s="25">
        <v>20</v>
      </c>
      <c r="N5" s="22">
        <v>1.0536286130153003</v>
      </c>
      <c r="O5" s="23">
        <v>0.31230754991859999</v>
      </c>
      <c r="P5" s="24">
        <v>0.29641141675607174</v>
      </c>
      <c r="Q5" s="25">
        <v>951</v>
      </c>
      <c r="R5" s="26"/>
      <c r="S5" s="26"/>
      <c r="T5" s="26"/>
    </row>
    <row r="6" spans="1:20" s="4" customFormat="1" x14ac:dyDescent="0.25">
      <c r="A6" s="27" t="s">
        <v>11</v>
      </c>
      <c r="B6" s="28">
        <v>1.0099385216931691</v>
      </c>
      <c r="C6" s="29">
        <v>0.29550449463667849</v>
      </c>
      <c r="D6" s="30">
        <v>0.29259651779720525</v>
      </c>
      <c r="E6" s="31">
        <v>63</v>
      </c>
      <c r="F6" s="28">
        <v>1.0052511700265709</v>
      </c>
      <c r="G6" s="29">
        <v>0.71676076113810494</v>
      </c>
      <c r="H6" s="30">
        <v>0.71301658979333438</v>
      </c>
      <c r="I6" s="31">
        <v>45</v>
      </c>
      <c r="J6" s="28">
        <v>1.0226358963669344</v>
      </c>
      <c r="K6" s="29">
        <v>0.8380512839194606</v>
      </c>
      <c r="L6" s="30">
        <v>0.81950114101877514</v>
      </c>
      <c r="M6" s="31">
        <v>15</v>
      </c>
      <c r="N6" s="28">
        <v>1.0087635312731125</v>
      </c>
      <c r="O6" s="29">
        <v>0.31403364873743778</v>
      </c>
      <c r="P6" s="30">
        <v>0.31130551313756438</v>
      </c>
      <c r="Q6" s="31">
        <v>123</v>
      </c>
      <c r="R6" s="26"/>
      <c r="S6" s="26"/>
      <c r="T6" s="26"/>
    </row>
    <row r="7" spans="1:20" s="4" customFormat="1" x14ac:dyDescent="0.25">
      <c r="A7" s="27" t="s">
        <v>12</v>
      </c>
      <c r="B7" s="28">
        <v>1.3179695775167795</v>
      </c>
      <c r="C7" s="29">
        <v>0.48760259884476892</v>
      </c>
      <c r="D7" s="30">
        <v>0.36996498793505811</v>
      </c>
      <c r="E7" s="31">
        <v>109</v>
      </c>
      <c r="F7" s="28">
        <v>1.2295616091823065</v>
      </c>
      <c r="G7" s="29">
        <v>0.55808044781589339</v>
      </c>
      <c r="H7" s="30">
        <v>0.45388571312586179</v>
      </c>
      <c r="I7" s="31">
        <v>66</v>
      </c>
      <c r="J7" s="28">
        <v>1.4349188672932747</v>
      </c>
      <c r="K7" s="29">
        <v>0.80279795878134141</v>
      </c>
      <c r="L7" s="30">
        <v>0.55947271799114351</v>
      </c>
      <c r="M7" s="31">
        <v>13</v>
      </c>
      <c r="N7" s="28">
        <v>1.2828343928041985</v>
      </c>
      <c r="O7" s="29">
        <v>0.42584713428549476</v>
      </c>
      <c r="P7" s="30">
        <v>0.33195799603923826</v>
      </c>
      <c r="Q7" s="31">
        <v>188</v>
      </c>
      <c r="R7" s="26"/>
      <c r="S7" s="26"/>
      <c r="T7" s="26"/>
    </row>
    <row r="8" spans="1:20" s="4" customFormat="1" x14ac:dyDescent="0.25">
      <c r="A8" s="27" t="s">
        <v>13</v>
      </c>
      <c r="B8" s="28">
        <v>1.0717602796381989</v>
      </c>
      <c r="C8" s="29">
        <v>0.11586785848014008</v>
      </c>
      <c r="D8" s="30">
        <v>0.10810986438054446</v>
      </c>
      <c r="E8" s="31">
        <v>790</v>
      </c>
      <c r="F8" s="28">
        <v>1.0633302238345324</v>
      </c>
      <c r="G8" s="29">
        <v>0.47387209739993924</v>
      </c>
      <c r="H8" s="30">
        <v>0.44564904371013131</v>
      </c>
      <c r="I8" s="31">
        <v>284</v>
      </c>
      <c r="J8" s="28">
        <v>1.0806307496092078</v>
      </c>
      <c r="K8" s="29">
        <v>0.50867868574839881</v>
      </c>
      <c r="L8" s="30">
        <v>0.47072386745644063</v>
      </c>
      <c r="M8" s="31">
        <v>29</v>
      </c>
      <c r="N8" s="28">
        <v>1.0701613849888461</v>
      </c>
      <c r="O8" s="29">
        <v>0.2347834266702922</v>
      </c>
      <c r="P8" s="30">
        <v>0.21939067318593192</v>
      </c>
      <c r="Q8" s="31">
        <v>1103</v>
      </c>
      <c r="R8" s="26"/>
      <c r="S8" s="26"/>
      <c r="T8" s="26"/>
    </row>
    <row r="9" spans="1:20" s="4" customFormat="1" x14ac:dyDescent="0.25">
      <c r="A9" s="27" t="s">
        <v>14</v>
      </c>
      <c r="B9" s="28">
        <v>1.1099200863639935</v>
      </c>
      <c r="C9" s="29">
        <v>0.2449346311008529</v>
      </c>
      <c r="D9" s="30">
        <v>0.22067771735101985</v>
      </c>
      <c r="E9" s="31">
        <v>326</v>
      </c>
      <c r="F9" s="28">
        <v>1.0569877618938943</v>
      </c>
      <c r="G9" s="29">
        <v>0.5925134482605795</v>
      </c>
      <c r="H9" s="30">
        <v>0.56056793618775969</v>
      </c>
      <c r="I9" s="31">
        <v>120</v>
      </c>
      <c r="J9" s="28">
        <v>1.0214756056111443</v>
      </c>
      <c r="K9" s="29">
        <v>0.91939620470072114</v>
      </c>
      <c r="L9" s="30">
        <v>0.90006672665535714</v>
      </c>
      <c r="M9" s="31">
        <v>17</v>
      </c>
      <c r="N9" s="28">
        <v>1.09484913674692</v>
      </c>
      <c r="O9" s="29">
        <v>0.26178791877261814</v>
      </c>
      <c r="P9" s="30">
        <v>0.23910866802202335</v>
      </c>
      <c r="Q9" s="31">
        <v>463</v>
      </c>
      <c r="R9" s="26"/>
      <c r="S9" s="26"/>
      <c r="T9" s="26"/>
    </row>
    <row r="10" spans="1:20" s="4" customFormat="1" x14ac:dyDescent="0.25">
      <c r="A10" s="27" t="s">
        <v>15</v>
      </c>
      <c r="B10" s="28">
        <v>1.6737096974483729</v>
      </c>
      <c r="C10" s="29">
        <v>1.1415291838967927</v>
      </c>
      <c r="D10" s="30">
        <v>0.68203535274790639</v>
      </c>
      <c r="E10" s="31">
        <v>226</v>
      </c>
      <c r="F10" s="28">
        <v>1.0849093425571015</v>
      </c>
      <c r="G10" s="29">
        <v>0.30720133309131226</v>
      </c>
      <c r="H10" s="30">
        <v>0.28315852858935397</v>
      </c>
      <c r="I10" s="31">
        <v>128</v>
      </c>
      <c r="J10" s="28">
        <v>1.185741135549832</v>
      </c>
      <c r="K10" s="29">
        <v>0.46381667723198416</v>
      </c>
      <c r="L10" s="30">
        <v>0.39116183400090182</v>
      </c>
      <c r="M10" s="31">
        <v>10</v>
      </c>
      <c r="N10" s="28">
        <v>1.5773572697081497</v>
      </c>
      <c r="O10" s="29">
        <v>1.0237548066831257</v>
      </c>
      <c r="P10" s="30">
        <v>0.64903165969022714</v>
      </c>
      <c r="Q10" s="31">
        <v>364</v>
      </c>
      <c r="R10" s="26"/>
      <c r="S10" s="26"/>
      <c r="T10" s="26"/>
    </row>
    <row r="11" spans="1:20" s="4" customFormat="1" ht="30" x14ac:dyDescent="0.25">
      <c r="A11" s="27" t="s">
        <v>16</v>
      </c>
      <c r="B11" s="28">
        <v>1.097974343278842</v>
      </c>
      <c r="C11" s="29">
        <v>0.22301056265875979</v>
      </c>
      <c r="D11" s="30">
        <v>0.20311090511713709</v>
      </c>
      <c r="E11" s="31">
        <v>221</v>
      </c>
      <c r="F11" s="28">
        <v>1.1910568080955681</v>
      </c>
      <c r="G11" s="29">
        <v>0.61063140988542408</v>
      </c>
      <c r="H11" s="30">
        <v>0.51268034046317978</v>
      </c>
      <c r="I11" s="31">
        <v>106</v>
      </c>
      <c r="J11" s="28">
        <v>1.1028221925865336</v>
      </c>
      <c r="K11" s="29">
        <v>0.4633815755012945</v>
      </c>
      <c r="L11" s="30">
        <v>0.42017795671529795</v>
      </c>
      <c r="M11" s="31">
        <v>9</v>
      </c>
      <c r="N11" s="28">
        <v>1.1117613525129806</v>
      </c>
      <c r="O11" s="29">
        <v>0.21015187253291379</v>
      </c>
      <c r="P11" s="30">
        <v>0.18902606396408272</v>
      </c>
      <c r="Q11" s="31">
        <v>336</v>
      </c>
      <c r="R11" s="26"/>
      <c r="S11" s="26"/>
      <c r="T11" s="26"/>
    </row>
    <row r="12" spans="1:20" s="4" customFormat="1" x14ac:dyDescent="0.25">
      <c r="A12" s="27" t="s">
        <v>17</v>
      </c>
      <c r="B12" s="28">
        <v>1.073994101063289</v>
      </c>
      <c r="C12" s="29">
        <v>0.25303893290159396</v>
      </c>
      <c r="D12" s="30">
        <v>0.23560551464023613</v>
      </c>
      <c r="E12" s="31">
        <v>457</v>
      </c>
      <c r="F12" s="28">
        <v>1.0978691862425694</v>
      </c>
      <c r="G12" s="29">
        <v>0.23738373402122598</v>
      </c>
      <c r="H12" s="30">
        <v>0.21622223940328086</v>
      </c>
      <c r="I12" s="31">
        <v>473</v>
      </c>
      <c r="J12" s="28">
        <v>1.0630428082562848</v>
      </c>
      <c r="K12" s="29">
        <v>0.36479421873771911</v>
      </c>
      <c r="L12" s="30">
        <v>0.34316042204931818</v>
      </c>
      <c r="M12" s="31">
        <v>58</v>
      </c>
      <c r="N12" s="28">
        <v>1.0835012452582378</v>
      </c>
      <c r="O12" s="29">
        <v>0.19082996674067582</v>
      </c>
      <c r="P12" s="30">
        <v>0.17612344016752293</v>
      </c>
      <c r="Q12" s="31">
        <v>988</v>
      </c>
      <c r="R12" s="26"/>
      <c r="S12" s="26"/>
      <c r="T12" s="26"/>
    </row>
    <row r="13" spans="1:20" s="4" customFormat="1" x14ac:dyDescent="0.25">
      <c r="A13" s="27" t="s">
        <v>18</v>
      </c>
      <c r="B13" s="28">
        <v>1.0705024588461993</v>
      </c>
      <c r="C13" s="29">
        <v>0.4514830156054559</v>
      </c>
      <c r="D13" s="30">
        <v>0.42174869555374006</v>
      </c>
      <c r="E13" s="31">
        <v>100</v>
      </c>
      <c r="F13" s="28">
        <v>1.0543139034230038</v>
      </c>
      <c r="G13" s="29">
        <v>0.31232557196042515</v>
      </c>
      <c r="H13" s="30">
        <v>0.29623584678757314</v>
      </c>
      <c r="I13" s="31">
        <v>117</v>
      </c>
      <c r="J13" s="28">
        <v>0</v>
      </c>
      <c r="K13" s="29">
        <v>0</v>
      </c>
      <c r="L13" s="30" t="e">
        <v>#DIV/0!</v>
      </c>
      <c r="M13" s="31">
        <v>10</v>
      </c>
      <c r="N13" s="28">
        <v>1.0643112613842873</v>
      </c>
      <c r="O13" s="29">
        <v>0.29960237722079469</v>
      </c>
      <c r="P13" s="30">
        <v>0.28149883224116168</v>
      </c>
      <c r="Q13" s="31">
        <v>227</v>
      </c>
      <c r="R13" s="26"/>
      <c r="S13" s="26"/>
      <c r="T13" s="26"/>
    </row>
    <row r="14" spans="1:20" s="4" customFormat="1" x14ac:dyDescent="0.25">
      <c r="A14" s="27" t="s">
        <v>19</v>
      </c>
      <c r="B14" s="32">
        <v>1.0381947694653118</v>
      </c>
      <c r="C14" s="33">
        <v>0.18236080501390553</v>
      </c>
      <c r="D14" s="30">
        <v>0.17565182408675059</v>
      </c>
      <c r="E14" s="31">
        <v>21</v>
      </c>
      <c r="F14" s="32">
        <v>1.0292724585961419</v>
      </c>
      <c r="G14" s="33">
        <v>0.41374268224963046</v>
      </c>
      <c r="H14" s="30">
        <v>0.40197586051602657</v>
      </c>
      <c r="I14" s="31">
        <v>19</v>
      </c>
      <c r="J14" s="32" t="e">
        <v>#DIV/0!</v>
      </c>
      <c r="K14" s="33" t="e">
        <v>#DIV/0!</v>
      </c>
      <c r="L14" s="30" t="e">
        <v>#DIV/0!</v>
      </c>
      <c r="M14" s="31">
        <v>0</v>
      </c>
      <c r="N14" s="32">
        <v>1.0345143088229174</v>
      </c>
      <c r="O14" s="33">
        <v>0.3763863055432381</v>
      </c>
      <c r="P14" s="30">
        <v>0.36382899910924854</v>
      </c>
      <c r="Q14" s="31">
        <v>40</v>
      </c>
      <c r="R14" s="26"/>
      <c r="S14" s="26"/>
      <c r="T14" s="26"/>
    </row>
    <row r="15" spans="1:20" s="4" customFormat="1" ht="15.75" thickBot="1" x14ac:dyDescent="0.3">
      <c r="A15" s="27" t="s">
        <v>20</v>
      </c>
      <c r="B15" s="32">
        <v>1.007898544932623</v>
      </c>
      <c r="C15" s="34">
        <v>0.46997449990284584</v>
      </c>
      <c r="D15" s="30">
        <v>0.46629147573009261</v>
      </c>
      <c r="E15" s="31">
        <v>12</v>
      </c>
      <c r="F15" s="32">
        <v>1.029013115232668</v>
      </c>
      <c r="G15" s="34">
        <v>0.1763297857919478</v>
      </c>
      <c r="H15" s="30">
        <v>0.17135815198242468</v>
      </c>
      <c r="I15" s="31">
        <v>6</v>
      </c>
      <c r="J15" s="32" t="e">
        <v>#DIV/0!</v>
      </c>
      <c r="K15" s="34" t="e">
        <v>#DIV/0!</v>
      </c>
      <c r="L15" s="30" t="e">
        <v>#DIV/0!</v>
      </c>
      <c r="M15" s="31">
        <v>1</v>
      </c>
      <c r="N15" s="32">
        <v>1.0169353057597119</v>
      </c>
      <c r="O15" s="34">
        <v>0.39072091476343329</v>
      </c>
      <c r="P15" s="30">
        <v>0.38421413097811685</v>
      </c>
      <c r="Q15" s="31">
        <v>19</v>
      </c>
      <c r="R15" s="26"/>
      <c r="S15" s="26"/>
      <c r="T15" s="26"/>
    </row>
    <row r="16" spans="1:20" s="4" customFormat="1" ht="15.75" thickTop="1" x14ac:dyDescent="0.25">
      <c r="A16" s="35" t="s">
        <v>4</v>
      </c>
      <c r="B16" s="36">
        <v>1.1310902345256537</v>
      </c>
      <c r="C16" s="37">
        <v>0.17225180304134907</v>
      </c>
      <c r="D16" s="38">
        <v>0.15228829476508252</v>
      </c>
      <c r="E16" s="39">
        <v>2935</v>
      </c>
      <c r="F16" s="36">
        <v>1.0910409302847315</v>
      </c>
      <c r="G16" s="37">
        <v>0.15221738420455969</v>
      </c>
      <c r="H16" s="38">
        <v>0.13951574132497041</v>
      </c>
      <c r="I16" s="39">
        <v>1685</v>
      </c>
      <c r="J16" s="36">
        <v>1.1702497888479004</v>
      </c>
      <c r="K16" s="37">
        <v>0.35685587865981111</v>
      </c>
      <c r="L16" s="38">
        <v>0.30493992142577719</v>
      </c>
      <c r="M16" s="39">
        <v>182</v>
      </c>
      <c r="N16" s="92">
        <v>1.12063536689223</v>
      </c>
      <c r="O16" s="37">
        <v>0.13128101731833616</v>
      </c>
      <c r="P16" s="38">
        <v>0.11714873650865357</v>
      </c>
      <c r="Q16" s="39">
        <v>4802</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60" x14ac:dyDescent="0.25">
      <c r="A18" s="5" t="s">
        <v>45</v>
      </c>
      <c r="B18" s="17" t="s">
        <v>134</v>
      </c>
      <c r="C18" s="18" t="s">
        <v>135</v>
      </c>
      <c r="D18" s="18" t="s">
        <v>8</v>
      </c>
      <c r="E18" s="19" t="s">
        <v>9</v>
      </c>
      <c r="F18" s="17" t="s">
        <v>134</v>
      </c>
      <c r="G18" s="18" t="s">
        <v>135</v>
      </c>
      <c r="H18" s="18" t="s">
        <v>8</v>
      </c>
      <c r="I18" s="19" t="s">
        <v>9</v>
      </c>
      <c r="J18" s="17" t="s">
        <v>134</v>
      </c>
      <c r="K18" s="18" t="s">
        <v>135</v>
      </c>
      <c r="L18" s="18" t="s">
        <v>8</v>
      </c>
      <c r="M18" s="20" t="s">
        <v>9</v>
      </c>
      <c r="N18" s="17" t="s">
        <v>134</v>
      </c>
      <c r="O18" s="18" t="s">
        <v>135</v>
      </c>
      <c r="P18" s="18" t="s">
        <v>8</v>
      </c>
      <c r="Q18" s="19" t="s">
        <v>9</v>
      </c>
    </row>
    <row r="19" spans="1:20" s="4" customFormat="1" x14ac:dyDescent="0.25">
      <c r="A19" s="50" t="s">
        <v>22</v>
      </c>
      <c r="B19" s="32">
        <v>1.1390632337226687</v>
      </c>
      <c r="C19" s="33">
        <v>0.17115519958519038</v>
      </c>
      <c r="D19" s="24">
        <v>0.15025961203736127</v>
      </c>
      <c r="E19" s="25">
        <v>2445</v>
      </c>
      <c r="F19" s="32">
        <v>1.0929758778130696</v>
      </c>
      <c r="G19" s="33">
        <v>0.19532509951349994</v>
      </c>
      <c r="H19" s="24">
        <v>0.17870943309775969</v>
      </c>
      <c r="I19" s="25">
        <v>1187</v>
      </c>
      <c r="J19" s="32">
        <v>1.1848299763931562</v>
      </c>
      <c r="K19" s="33">
        <v>0.38610183474640908</v>
      </c>
      <c r="L19" s="24">
        <v>0.32587108905007212</v>
      </c>
      <c r="M19" s="25">
        <v>123</v>
      </c>
      <c r="N19" s="32">
        <v>1.1279404025705368</v>
      </c>
      <c r="O19" s="33">
        <v>0.13856295815996178</v>
      </c>
      <c r="P19" s="24">
        <v>0.1228459924338038</v>
      </c>
      <c r="Q19" s="25">
        <v>3755</v>
      </c>
      <c r="R19" s="26"/>
      <c r="S19" s="26"/>
      <c r="T19" s="26"/>
    </row>
    <row r="20" spans="1:20" s="4" customFormat="1" ht="15.75" thickBot="1" x14ac:dyDescent="0.3">
      <c r="A20" s="51" t="s">
        <v>23</v>
      </c>
      <c r="B20" s="32">
        <v>1.0625451338064809</v>
      </c>
      <c r="C20" s="34">
        <v>0.25849969124995231</v>
      </c>
      <c r="D20" s="30">
        <v>0.24328349264929419</v>
      </c>
      <c r="E20" s="31">
        <v>490</v>
      </c>
      <c r="F20" s="32">
        <v>1.0827618424951417</v>
      </c>
      <c r="G20" s="34">
        <v>0.24713431220787846</v>
      </c>
      <c r="H20" s="30">
        <v>0.22824438626168833</v>
      </c>
      <c r="I20" s="31">
        <v>498</v>
      </c>
      <c r="J20" s="32">
        <v>1.0548282260338226</v>
      </c>
      <c r="K20" s="34">
        <v>0.45646370380366119</v>
      </c>
      <c r="L20" s="30">
        <v>0.43273747567409604</v>
      </c>
      <c r="M20" s="31">
        <v>59</v>
      </c>
      <c r="N20" s="32">
        <v>1.0706464077519338</v>
      </c>
      <c r="O20" s="34">
        <v>0.17838141503976673</v>
      </c>
      <c r="P20" s="30">
        <v>0.16661094993474007</v>
      </c>
      <c r="Q20" s="31">
        <v>1047</v>
      </c>
      <c r="R20" s="26"/>
      <c r="S20" s="26"/>
      <c r="T20" s="26"/>
    </row>
    <row r="21" spans="1:20" s="4" customFormat="1" ht="15.75" thickTop="1" x14ac:dyDescent="0.25">
      <c r="A21" s="35" t="s">
        <v>4</v>
      </c>
      <c r="B21" s="36">
        <v>1.1310902345256537</v>
      </c>
      <c r="C21" s="37">
        <v>0.17225180304134907</v>
      </c>
      <c r="D21" s="38">
        <v>0.15228829476508252</v>
      </c>
      <c r="E21" s="39">
        <v>2935</v>
      </c>
      <c r="F21" s="36">
        <v>1.0910409302847315</v>
      </c>
      <c r="G21" s="37">
        <v>0.15221738420455969</v>
      </c>
      <c r="H21" s="38">
        <v>0.13951574132497041</v>
      </c>
      <c r="I21" s="39">
        <v>1685</v>
      </c>
      <c r="J21" s="36">
        <v>1.1702497888479004</v>
      </c>
      <c r="K21" s="37">
        <v>0.35685587865981111</v>
      </c>
      <c r="L21" s="38">
        <v>0.30493992142577719</v>
      </c>
      <c r="M21" s="39">
        <v>182</v>
      </c>
      <c r="N21" s="92">
        <v>1.12063536689223</v>
      </c>
      <c r="O21" s="37">
        <v>0.13128101731833616</v>
      </c>
      <c r="P21" s="38">
        <v>0.11714873650865357</v>
      </c>
      <c r="Q21" s="39">
        <v>4802</v>
      </c>
    </row>
    <row r="22" spans="1:20" s="4" customFormat="1" x14ac:dyDescent="0.25">
      <c r="A22" s="40"/>
      <c r="B22" s="41"/>
      <c r="C22" s="41"/>
      <c r="D22" s="41"/>
      <c r="E22" s="41"/>
      <c r="F22" s="41"/>
      <c r="G22" s="41"/>
      <c r="H22" s="41"/>
      <c r="I22" s="41"/>
      <c r="J22" s="41"/>
      <c r="K22" s="41"/>
      <c r="L22" s="41"/>
      <c r="M22" s="41"/>
      <c r="N22" s="41"/>
      <c r="O22" s="41"/>
      <c r="P22" s="41"/>
      <c r="Q22" s="41"/>
    </row>
    <row r="23" spans="1:20" s="4" customFormat="1" x14ac:dyDescent="0.25">
      <c r="A23" s="40" t="s">
        <v>137</v>
      </c>
      <c r="B23" s="44" t="s">
        <v>26</v>
      </c>
      <c r="C23" s="4" t="s">
        <v>110</v>
      </c>
    </row>
    <row r="24" spans="1:20" s="4" customFormat="1" x14ac:dyDescent="0.25">
      <c r="A24" s="40"/>
      <c r="B24" s="45" t="s">
        <v>26</v>
      </c>
      <c r="C24" s="4" t="s">
        <v>29</v>
      </c>
    </row>
    <row r="25" spans="1:20" x14ac:dyDescent="0.25">
      <c r="A25" s="154" t="s">
        <v>240</v>
      </c>
    </row>
  </sheetData>
  <mergeCells count="2">
    <mergeCell ref="N2:Q2"/>
    <mergeCell ref="N3:Q3"/>
  </mergeCells>
  <conditionalFormatting sqref="M5:M15">
    <cfRule type="expression" dxfId="151" priority="51">
      <formula>M5&lt;=1</formula>
    </cfRule>
  </conditionalFormatting>
  <conditionalFormatting sqref="L5:L15 L19:L20 H19:H20 D19:D20 P19:P20">
    <cfRule type="expression" dxfId="150" priority="49">
      <formula>OR(D5&gt;=0.5,E5&lt;=5)</formula>
    </cfRule>
    <cfRule type="expression" dxfId="149" priority="50">
      <formula>E5&lt;=1</formula>
    </cfRule>
  </conditionalFormatting>
  <conditionalFormatting sqref="I5:I15">
    <cfRule type="expression" dxfId="148" priority="48">
      <formula>I5&lt;=1</formula>
    </cfRule>
  </conditionalFormatting>
  <conditionalFormatting sqref="H5:H15">
    <cfRule type="expression" dxfId="147" priority="46">
      <formula>OR(H5&gt;=0.5,I5&lt;=5)</formula>
    </cfRule>
    <cfRule type="expression" dxfId="146" priority="47">
      <formula>I5&lt;=1</formula>
    </cfRule>
  </conditionalFormatting>
  <conditionalFormatting sqref="E5:E15">
    <cfRule type="expression" dxfId="145" priority="45">
      <formula>E5&lt;=1</formula>
    </cfRule>
  </conditionalFormatting>
  <conditionalFormatting sqref="D5:D15">
    <cfRule type="expression" dxfId="144" priority="41">
      <formula>OR(D5&gt;=0.5,E5&lt;=5)</formula>
    </cfRule>
    <cfRule type="expression" dxfId="143" priority="44">
      <formula>E5&lt;=1</formula>
    </cfRule>
  </conditionalFormatting>
  <conditionalFormatting sqref="C5:C15">
    <cfRule type="expression" dxfId="142" priority="40">
      <formula>OR(D5&gt;=0.5,E5&lt;=5)</formula>
    </cfRule>
    <cfRule type="expression" dxfId="141" priority="43">
      <formula>E5&lt;=1</formula>
    </cfRule>
  </conditionalFormatting>
  <conditionalFormatting sqref="B5:B15">
    <cfRule type="expression" dxfId="140" priority="39">
      <formula>OR(D5&gt;=0.5,E5&lt;=5)</formula>
    </cfRule>
    <cfRule type="expression" dxfId="139" priority="42">
      <formula>E5&lt;=1</formula>
    </cfRule>
  </conditionalFormatting>
  <conditionalFormatting sqref="Q6:Q15">
    <cfRule type="expression" dxfId="138" priority="38">
      <formula>Q6&lt;=1</formula>
    </cfRule>
  </conditionalFormatting>
  <conditionalFormatting sqref="O6:O15">
    <cfRule type="expression" dxfId="137" priority="33">
      <formula>OR(P6&gt;=0.5,Q6&lt;=5)</formula>
    </cfRule>
    <cfRule type="expression" dxfId="136" priority="36">
      <formula>Q6&lt;=1</formula>
    </cfRule>
  </conditionalFormatting>
  <conditionalFormatting sqref="M19:M20">
    <cfRule type="expression" dxfId="135" priority="31">
      <formula>M19&lt;=1</formula>
    </cfRule>
  </conditionalFormatting>
  <conditionalFormatting sqref="I19:I20">
    <cfRule type="expression" dxfId="134" priority="30">
      <formula>I19&lt;=1</formula>
    </cfRule>
  </conditionalFormatting>
  <conditionalFormatting sqref="E19:E20">
    <cfRule type="expression" dxfId="133" priority="29">
      <formula>E19&lt;=1</formula>
    </cfRule>
  </conditionalFormatting>
  <conditionalFormatting sqref="Q19:Q20">
    <cfRule type="expression" dxfId="132" priority="28">
      <formula>Q19&lt;=1</formula>
    </cfRule>
  </conditionalFormatting>
  <conditionalFormatting sqref="N5:N16">
    <cfRule type="expression" dxfId="131" priority="32">
      <formula>OR(P5&gt;=0.5,Q5&lt;=5)</formula>
    </cfRule>
    <cfRule type="expression" dxfId="130" priority="35">
      <formula>Q5&lt;=1</formula>
    </cfRule>
  </conditionalFormatting>
  <conditionalFormatting sqref="O5:O16">
    <cfRule type="expression" dxfId="129" priority="26">
      <formula>OR(P5&gt;=0.5,Q5&lt;=5)</formula>
    </cfRule>
    <cfRule type="expression" dxfId="128" priority="27">
      <formula>Q5&lt;=1</formula>
    </cfRule>
  </conditionalFormatting>
  <conditionalFormatting sqref="P5:P16">
    <cfRule type="expression" dxfId="127" priority="34">
      <formula>OR(P5&gt;=0.5,Q5&lt;=5)</formula>
    </cfRule>
    <cfRule type="expression" dxfId="126" priority="37">
      <formula>Q5&lt;=1</formula>
    </cfRule>
  </conditionalFormatting>
  <conditionalFormatting sqref="G5:G15">
    <cfRule type="expression" dxfId="125" priority="23">
      <formula>OR(H5&gt;=0.5,I5&lt;=5)</formula>
    </cfRule>
    <cfRule type="expression" dxfId="124" priority="25">
      <formula>I5&lt;=1</formula>
    </cfRule>
  </conditionalFormatting>
  <conditionalFormatting sqref="F5:F15">
    <cfRule type="expression" dxfId="123" priority="22">
      <formula>OR(H5&gt;=0.5,I5&lt;=5)</formula>
    </cfRule>
    <cfRule type="expression" dxfId="122" priority="24">
      <formula>I5&lt;=1</formula>
    </cfRule>
  </conditionalFormatting>
  <conditionalFormatting sqref="K5:K15">
    <cfRule type="expression" dxfId="121" priority="19">
      <formula>OR(L5&gt;=0.5,M5&lt;=5)</formula>
    </cfRule>
    <cfRule type="expression" dxfId="120" priority="21">
      <formula>M5&lt;=1</formula>
    </cfRule>
  </conditionalFormatting>
  <conditionalFormatting sqref="J5:J15">
    <cfRule type="expression" dxfId="119" priority="18">
      <formula>OR(L5&gt;=0.5,M5&lt;=5)</formula>
    </cfRule>
    <cfRule type="expression" dxfId="118" priority="20">
      <formula>M5&lt;=1</formula>
    </cfRule>
  </conditionalFormatting>
  <conditionalFormatting sqref="K19:K20">
    <cfRule type="expression" dxfId="117" priority="15">
      <formula>OR(L19&gt;=0.5,M19&lt;=5)</formula>
    </cfRule>
    <cfRule type="expression" dxfId="116" priority="17">
      <formula>M19&lt;=1</formula>
    </cfRule>
  </conditionalFormatting>
  <conditionalFormatting sqref="J19:J20">
    <cfRule type="expression" dxfId="115" priority="14">
      <formula>OR(L19&gt;=0.5,M19&lt;=5)</formula>
    </cfRule>
    <cfRule type="expression" dxfId="114" priority="16">
      <formula>M19&lt;=1</formula>
    </cfRule>
  </conditionalFormatting>
  <conditionalFormatting sqref="O19:O20">
    <cfRule type="expression" dxfId="113" priority="11">
      <formula>OR(P19&gt;=0.5,Q19&lt;=5)</formula>
    </cfRule>
    <cfRule type="expression" dxfId="112" priority="13">
      <formula>Q19&lt;=1</formula>
    </cfRule>
  </conditionalFormatting>
  <conditionalFormatting sqref="N19:N20">
    <cfRule type="expression" dxfId="111" priority="10">
      <formula>OR(P19&gt;=0.5,Q19&lt;=5)</formula>
    </cfRule>
    <cfRule type="expression" dxfId="110" priority="12">
      <formula>Q19&lt;=1</formula>
    </cfRule>
  </conditionalFormatting>
  <conditionalFormatting sqref="G19:G20">
    <cfRule type="expression" dxfId="109" priority="7">
      <formula>OR(H19&gt;=0.5,I19&lt;=5)</formula>
    </cfRule>
    <cfRule type="expression" dxfId="108" priority="9">
      <formula>I19&lt;=1</formula>
    </cfRule>
  </conditionalFormatting>
  <conditionalFormatting sqref="F19:F20">
    <cfRule type="expression" dxfId="107" priority="6">
      <formula>OR(H19&gt;=0.5,I19&lt;=5)</formula>
    </cfRule>
    <cfRule type="expression" dxfId="106" priority="8">
      <formula>I19&lt;=1</formula>
    </cfRule>
  </conditionalFormatting>
  <conditionalFormatting sqref="C19:C20">
    <cfRule type="expression" dxfId="105" priority="3">
      <formula>OR(D19&gt;=0.5,E19&lt;=5)</formula>
    </cfRule>
    <cfRule type="expression" dxfId="104" priority="5">
      <formula>E19&lt;=1</formula>
    </cfRule>
  </conditionalFormatting>
  <conditionalFormatting sqref="B19:B20">
    <cfRule type="expression" dxfId="103" priority="2">
      <formula>OR(D19&gt;=0.5,E19&lt;=5)</formula>
    </cfRule>
    <cfRule type="expression" dxfId="102" priority="4">
      <formula>E19&lt;=1</formula>
    </cfRule>
  </conditionalFormatting>
  <conditionalFormatting sqref="Q5">
    <cfRule type="expression" dxfId="101" priority="1">
      <formula>Q5&lt;=1</formula>
    </cfRule>
  </conditionalFormatting>
  <hyperlinks>
    <hyperlink ref="A25" location="Überblick!A1" display="zurück zur Übersicht" xr:uid="{EA8E4BD1-69CD-491A-A0AE-CCB48F3A7ABA}"/>
  </hyperlinks>
  <pageMargins left="0.7" right="0.7" top="0.78740157499999996" bottom="0.78740157499999996"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C04F9-1606-4E44-87FD-F50F32AFAFB6}">
  <dimension ref="A1:T29"/>
  <sheetViews>
    <sheetView workbookViewId="0">
      <selection activeCell="A2" sqref="A2"/>
    </sheetView>
  </sheetViews>
  <sheetFormatPr baseColWidth="10" defaultColWidth="11.42578125" defaultRowHeight="15" x14ac:dyDescent="0.25"/>
  <cols>
    <col min="1" max="1" width="83.57031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
        <v>277</v>
      </c>
      <c r="B1" s="2"/>
      <c r="C1" s="2"/>
      <c r="D1" s="2"/>
      <c r="E1" s="2"/>
      <c r="F1" s="2"/>
      <c r="G1" s="2"/>
      <c r="H1" s="2"/>
      <c r="I1" s="2"/>
      <c r="J1" s="2"/>
      <c r="K1" s="2"/>
      <c r="L1" s="2"/>
      <c r="M1" s="2"/>
      <c r="N1" s="2"/>
      <c r="O1" s="2"/>
      <c r="P1" s="2"/>
      <c r="Q1" s="3"/>
    </row>
    <row r="2" spans="1:20" ht="36.75" customHeight="1" x14ac:dyDescent="0.25">
      <c r="A2" s="52" t="s">
        <v>233</v>
      </c>
      <c r="B2" s="6" t="s">
        <v>0</v>
      </c>
      <c r="C2" s="7"/>
      <c r="D2" s="7"/>
      <c r="E2" s="7"/>
      <c r="F2" s="7"/>
      <c r="G2" s="7"/>
      <c r="H2" s="7"/>
      <c r="I2" s="7"/>
      <c r="J2" s="7"/>
      <c r="K2" s="7"/>
      <c r="L2" s="7"/>
      <c r="M2" s="8"/>
      <c r="N2" s="170"/>
      <c r="O2" s="171"/>
      <c r="P2" s="171"/>
      <c r="Q2" s="172"/>
    </row>
    <row r="3" spans="1:20" ht="50.25" customHeight="1" x14ac:dyDescent="0.25">
      <c r="A3" s="52" t="s">
        <v>234</v>
      </c>
      <c r="B3" s="11" t="s">
        <v>1</v>
      </c>
      <c r="C3" s="12"/>
      <c r="D3" s="12"/>
      <c r="E3" s="13"/>
      <c r="F3" s="11" t="s">
        <v>33</v>
      </c>
      <c r="G3" s="12"/>
      <c r="H3" s="12"/>
      <c r="I3" s="13"/>
      <c r="J3" s="11" t="s">
        <v>3</v>
      </c>
      <c r="K3" s="12"/>
      <c r="L3" s="12"/>
      <c r="M3" s="14"/>
      <c r="N3" s="170" t="s">
        <v>4</v>
      </c>
      <c r="O3" s="171"/>
      <c r="P3" s="171"/>
      <c r="Q3" s="172"/>
    </row>
    <row r="4" spans="1:20" ht="45" x14ac:dyDescent="0.25">
      <c r="A4" s="5" t="s">
        <v>5</v>
      </c>
      <c r="B4" s="17" t="s">
        <v>235</v>
      </c>
      <c r="C4" s="18" t="s">
        <v>135</v>
      </c>
      <c r="D4" s="18" t="s">
        <v>8</v>
      </c>
      <c r="E4" s="19" t="s">
        <v>9</v>
      </c>
      <c r="F4" s="17" t="s">
        <v>235</v>
      </c>
      <c r="G4" s="18" t="s">
        <v>135</v>
      </c>
      <c r="H4" s="18" t="s">
        <v>8</v>
      </c>
      <c r="I4" s="19" t="s">
        <v>9</v>
      </c>
      <c r="J4" s="17" t="s">
        <v>235</v>
      </c>
      <c r="K4" s="18" t="s">
        <v>135</v>
      </c>
      <c r="L4" s="18" t="s">
        <v>8</v>
      </c>
      <c r="M4" s="20" t="s">
        <v>9</v>
      </c>
      <c r="N4" s="17" t="s">
        <v>235</v>
      </c>
      <c r="O4" s="18" t="s">
        <v>135</v>
      </c>
      <c r="P4" s="18" t="s">
        <v>8</v>
      </c>
      <c r="Q4" s="19" t="s">
        <v>9</v>
      </c>
    </row>
    <row r="5" spans="1:20" x14ac:dyDescent="0.25">
      <c r="A5" s="146" t="s">
        <v>10</v>
      </c>
      <c r="B5" s="22">
        <v>107.60378869239764</v>
      </c>
      <c r="C5" s="23">
        <v>38.803346098487886</v>
      </c>
      <c r="D5" s="24">
        <v>0.36061319559493721</v>
      </c>
      <c r="E5" s="25">
        <v>632</v>
      </c>
      <c r="F5" s="22">
        <v>64.644640527919677</v>
      </c>
      <c r="G5" s="23">
        <v>23.653750953566195</v>
      </c>
      <c r="H5" s="24">
        <v>0.3659042847233448</v>
      </c>
      <c r="I5" s="25">
        <v>351</v>
      </c>
      <c r="J5" s="22">
        <v>26.67152953340608</v>
      </c>
      <c r="K5" s="23">
        <v>8.419647938383962</v>
      </c>
      <c r="L5" s="24">
        <v>0.31567923121313146</v>
      </c>
      <c r="M5" s="25">
        <v>31</v>
      </c>
      <c r="N5" s="22">
        <v>93.498669976621642</v>
      </c>
      <c r="O5" s="23">
        <v>26.94938101607498</v>
      </c>
      <c r="P5" s="24">
        <v>0.28823277403639419</v>
      </c>
      <c r="Q5" s="25">
        <v>1014</v>
      </c>
      <c r="R5" s="26"/>
      <c r="S5" s="26"/>
      <c r="T5" s="26"/>
    </row>
    <row r="6" spans="1:20" x14ac:dyDescent="0.25">
      <c r="A6" s="147" t="s">
        <v>11</v>
      </c>
      <c r="B6" s="28">
        <v>327.57380437977275</v>
      </c>
      <c r="C6" s="29">
        <v>120.45063408056642</v>
      </c>
      <c r="D6" s="30">
        <v>0.36770533073799133</v>
      </c>
      <c r="E6" s="31">
        <v>63</v>
      </c>
      <c r="F6" s="28">
        <v>272.51746389111622</v>
      </c>
      <c r="G6" s="29">
        <v>246.89113160856516</v>
      </c>
      <c r="H6" s="30">
        <v>0.90596444016230093</v>
      </c>
      <c r="I6" s="31">
        <v>51</v>
      </c>
      <c r="J6" s="28">
        <v>63.898074701297851</v>
      </c>
      <c r="K6" s="29">
        <v>40.61832193186256</v>
      </c>
      <c r="L6" s="30">
        <v>0.63567364309080743</v>
      </c>
      <c r="M6" s="31">
        <v>16</v>
      </c>
      <c r="N6" s="28">
        <v>291.29807671657875</v>
      </c>
      <c r="O6" s="29">
        <v>106.4224241330235</v>
      </c>
      <c r="P6" s="30">
        <v>0.36533857460572322</v>
      </c>
      <c r="Q6" s="31">
        <v>130</v>
      </c>
      <c r="R6" s="26"/>
      <c r="S6" s="26"/>
      <c r="T6" s="26"/>
    </row>
    <row r="7" spans="1:20" x14ac:dyDescent="0.25">
      <c r="A7" s="147" t="s">
        <v>12</v>
      </c>
      <c r="B7" s="28">
        <v>143.31338644182065</v>
      </c>
      <c r="C7" s="29">
        <v>49.920056610759097</v>
      </c>
      <c r="D7" s="30">
        <v>0.34832793956079316</v>
      </c>
      <c r="E7" s="31">
        <v>110</v>
      </c>
      <c r="F7" s="28">
        <v>117.63402241471452</v>
      </c>
      <c r="G7" s="29">
        <v>50.064451032678612</v>
      </c>
      <c r="H7" s="30">
        <v>0.42559499373555543</v>
      </c>
      <c r="I7" s="31">
        <v>70</v>
      </c>
      <c r="J7" s="28">
        <v>81.892134635654315</v>
      </c>
      <c r="K7" s="29">
        <v>53.593932770407015</v>
      </c>
      <c r="L7" s="30">
        <v>0.65444542395739691</v>
      </c>
      <c r="M7" s="31">
        <v>13</v>
      </c>
      <c r="N7" s="28">
        <v>127.91810518827937</v>
      </c>
      <c r="O7" s="29">
        <v>37.22065738608395</v>
      </c>
      <c r="P7" s="30">
        <v>0.2909725510028453</v>
      </c>
      <c r="Q7" s="31">
        <v>193</v>
      </c>
      <c r="R7" s="26"/>
      <c r="S7" s="26"/>
      <c r="T7" s="26"/>
    </row>
    <row r="8" spans="1:20" x14ac:dyDescent="0.25">
      <c r="A8" s="147" t="s">
        <v>13</v>
      </c>
      <c r="B8" s="28">
        <v>192.56133387029129</v>
      </c>
      <c r="C8" s="29">
        <v>21.94370116305533</v>
      </c>
      <c r="D8" s="30">
        <v>0.11395694411753783</v>
      </c>
      <c r="E8" s="31">
        <v>806</v>
      </c>
      <c r="F8" s="28">
        <v>161.27830240202778</v>
      </c>
      <c r="G8" s="29">
        <v>76.43510144806875</v>
      </c>
      <c r="H8" s="30">
        <v>0.47393294888195525</v>
      </c>
      <c r="I8" s="31">
        <v>290</v>
      </c>
      <c r="J8" s="28">
        <v>129.19536175406589</v>
      </c>
      <c r="K8" s="29">
        <v>59.67792886018097</v>
      </c>
      <c r="L8" s="30">
        <v>0.46192005695825883</v>
      </c>
      <c r="M8" s="31">
        <v>33</v>
      </c>
      <c r="N8" s="28">
        <v>183.50140365072093</v>
      </c>
      <c r="O8" s="29">
        <v>40.657802599181565</v>
      </c>
      <c r="P8" s="30">
        <v>0.22156671169976541</v>
      </c>
      <c r="Q8" s="31">
        <v>1129</v>
      </c>
      <c r="R8" s="26"/>
      <c r="S8" s="26"/>
      <c r="T8" s="26"/>
    </row>
    <row r="9" spans="1:20" x14ac:dyDescent="0.25">
      <c r="A9" s="147" t="s">
        <v>14</v>
      </c>
      <c r="B9" s="28">
        <v>177.30358284018453</v>
      </c>
      <c r="C9" s="29">
        <v>37.972448447548821</v>
      </c>
      <c r="D9" s="30">
        <v>0.21416627819515585</v>
      </c>
      <c r="E9" s="31">
        <v>349</v>
      </c>
      <c r="F9" s="28">
        <v>120.16353592156547</v>
      </c>
      <c r="G9" s="29">
        <v>61.28151440648189</v>
      </c>
      <c r="H9" s="30">
        <v>0.50998428047658539</v>
      </c>
      <c r="I9" s="31">
        <v>132</v>
      </c>
      <c r="J9" s="28">
        <v>28.884586838208996</v>
      </c>
      <c r="K9" s="29">
        <v>21.689574488729015</v>
      </c>
      <c r="L9" s="30">
        <v>0.75090478566367092</v>
      </c>
      <c r="M9" s="31">
        <v>20</v>
      </c>
      <c r="N9" s="28">
        <v>154.66364530775951</v>
      </c>
      <c r="O9" s="29">
        <v>34.260647266745764</v>
      </c>
      <c r="P9" s="30">
        <v>0.22151713286319974</v>
      </c>
      <c r="Q9" s="31">
        <v>501</v>
      </c>
      <c r="R9" s="26"/>
      <c r="S9" s="26"/>
      <c r="T9" s="26"/>
    </row>
    <row r="10" spans="1:20" x14ac:dyDescent="0.25">
      <c r="A10" s="147" t="s">
        <v>15</v>
      </c>
      <c r="B10" s="28">
        <v>230.59285663461966</v>
      </c>
      <c r="C10" s="29">
        <v>101.77356777873216</v>
      </c>
      <c r="D10" s="30">
        <v>0.44135611685489029</v>
      </c>
      <c r="E10" s="31">
        <v>231</v>
      </c>
      <c r="F10" s="28">
        <v>87.532796541954269</v>
      </c>
      <c r="G10" s="29">
        <v>25.372555427984441</v>
      </c>
      <c r="H10" s="30">
        <v>0.28986341611767691</v>
      </c>
      <c r="I10" s="31">
        <v>134</v>
      </c>
      <c r="J10" s="28">
        <v>38.966121679213352</v>
      </c>
      <c r="K10" s="29">
        <v>16.267699602879961</v>
      </c>
      <c r="L10" s="30">
        <v>0.41748315977666406</v>
      </c>
      <c r="M10" s="31">
        <v>11</v>
      </c>
      <c r="N10" s="28">
        <v>180.38346094647085</v>
      </c>
      <c r="O10" s="29">
        <v>71.230972712213145</v>
      </c>
      <c r="P10" s="30">
        <v>0.39488638447485536</v>
      </c>
      <c r="Q10" s="31">
        <v>376</v>
      </c>
      <c r="R10" s="26"/>
      <c r="S10" s="26"/>
      <c r="T10" s="26"/>
    </row>
    <row r="11" spans="1:20" ht="17.25" customHeight="1" x14ac:dyDescent="0.25">
      <c r="A11" s="147" t="s">
        <v>16</v>
      </c>
      <c r="B11" s="28">
        <v>193.32920530518012</v>
      </c>
      <c r="C11" s="29">
        <v>41.231642062915554</v>
      </c>
      <c r="D11" s="30">
        <v>0.21327166786740409</v>
      </c>
      <c r="E11" s="31">
        <v>227</v>
      </c>
      <c r="F11" s="28">
        <v>99.246940319775803</v>
      </c>
      <c r="G11" s="29">
        <v>67.536510478878668</v>
      </c>
      <c r="H11" s="30">
        <v>0.68048959757625338</v>
      </c>
      <c r="I11" s="31">
        <v>115</v>
      </c>
      <c r="J11" s="28">
        <v>43.339155197436938</v>
      </c>
      <c r="K11" s="29">
        <v>28.467882464292149</v>
      </c>
      <c r="L11" s="30">
        <v>0.65686288379649194</v>
      </c>
      <c r="M11" s="31">
        <v>11</v>
      </c>
      <c r="N11" s="28">
        <v>166.62178106088788</v>
      </c>
      <c r="O11" s="29">
        <v>39.144192287313125</v>
      </c>
      <c r="P11" s="30">
        <v>0.23492842315140558</v>
      </c>
      <c r="Q11" s="31">
        <v>353</v>
      </c>
      <c r="R11" s="26"/>
      <c r="S11" s="26"/>
      <c r="T11" s="26"/>
    </row>
    <row r="12" spans="1:20" x14ac:dyDescent="0.25">
      <c r="A12" s="147" t="s">
        <v>17</v>
      </c>
      <c r="B12" s="28">
        <v>54.601146605001887</v>
      </c>
      <c r="C12" s="29">
        <v>16.478707066275735</v>
      </c>
      <c r="D12" s="30">
        <v>0.30180148386785266</v>
      </c>
      <c r="E12" s="31">
        <v>501</v>
      </c>
      <c r="F12" s="28">
        <v>23.082492100175902</v>
      </c>
      <c r="G12" s="29">
        <v>7.1033988383795981</v>
      </c>
      <c r="H12" s="30">
        <v>0.30773968458654716</v>
      </c>
      <c r="I12" s="31">
        <v>521</v>
      </c>
      <c r="J12" s="28">
        <v>9.8685263737033129</v>
      </c>
      <c r="K12" s="29">
        <v>4.2873389767012311</v>
      </c>
      <c r="L12" s="30">
        <v>0.43444571300186358</v>
      </c>
      <c r="M12" s="31">
        <v>64</v>
      </c>
      <c r="N12" s="28">
        <v>35.615069089613506</v>
      </c>
      <c r="O12" s="29">
        <v>7.829191707308925</v>
      </c>
      <c r="P12" s="30">
        <v>0.21982806456473133</v>
      </c>
      <c r="Q12" s="31">
        <v>1086</v>
      </c>
      <c r="R12" s="26"/>
      <c r="S12" s="26"/>
      <c r="T12" s="26"/>
    </row>
    <row r="13" spans="1:20" x14ac:dyDescent="0.25">
      <c r="A13" s="147" t="s">
        <v>18</v>
      </c>
      <c r="B13" s="28">
        <v>103.39282069489907</v>
      </c>
      <c r="C13" s="29">
        <v>57.784413346652698</v>
      </c>
      <c r="D13" s="30">
        <v>0.55888226047307665</v>
      </c>
      <c r="E13" s="31">
        <v>104</v>
      </c>
      <c r="F13" s="28">
        <v>77.730031745672122</v>
      </c>
      <c r="G13" s="29">
        <v>26.275318700483876</v>
      </c>
      <c r="H13" s="30">
        <v>0.33803303704358567</v>
      </c>
      <c r="I13" s="31">
        <v>126</v>
      </c>
      <c r="J13" s="28">
        <v>54.790617293138972</v>
      </c>
      <c r="K13" s="29">
        <v>19.217167181532449</v>
      </c>
      <c r="L13" s="30">
        <v>0.35073828569438065</v>
      </c>
      <c r="M13" s="31">
        <v>14</v>
      </c>
      <c r="N13" s="28">
        <v>91.094962074671002</v>
      </c>
      <c r="O13" s="29">
        <v>31.138662469101639</v>
      </c>
      <c r="P13" s="30">
        <v>0.34182639478544508</v>
      </c>
      <c r="Q13" s="31">
        <v>244</v>
      </c>
      <c r="R13" s="26"/>
      <c r="S13" s="26"/>
      <c r="T13" s="26"/>
    </row>
    <row r="14" spans="1:20" x14ac:dyDescent="0.25">
      <c r="A14" s="147" t="s">
        <v>19</v>
      </c>
      <c r="B14" s="32">
        <v>289.77963077906713</v>
      </c>
      <c r="C14" s="33">
        <v>58.873960753122198</v>
      </c>
      <c r="D14" s="30">
        <v>0.20316804391958349</v>
      </c>
      <c r="E14" s="31">
        <v>26</v>
      </c>
      <c r="F14" s="32">
        <v>153.22863814212579</v>
      </c>
      <c r="G14" s="33">
        <v>56.383410275661731</v>
      </c>
      <c r="H14" s="30">
        <v>0.36796914049032942</v>
      </c>
      <c r="I14" s="31">
        <v>25</v>
      </c>
      <c r="J14" s="148">
        <v>0</v>
      </c>
      <c r="K14" s="149">
        <v>0</v>
      </c>
      <c r="L14" s="30" t="e">
        <v>#DIV/0!</v>
      </c>
      <c r="M14" s="31">
        <v>1</v>
      </c>
      <c r="N14" s="32">
        <v>189.36302321212744</v>
      </c>
      <c r="O14" s="33">
        <v>50.804866021543603</v>
      </c>
      <c r="P14" s="30">
        <v>0.26829348813591336</v>
      </c>
      <c r="Q14" s="31">
        <v>52</v>
      </c>
      <c r="R14" s="26"/>
      <c r="S14" s="26"/>
      <c r="T14" s="26"/>
    </row>
    <row r="15" spans="1:20" ht="15.75" thickBot="1" x14ac:dyDescent="0.3">
      <c r="A15" s="147" t="s">
        <v>20</v>
      </c>
      <c r="B15" s="32">
        <v>518.76015438123886</v>
      </c>
      <c r="C15" s="34">
        <v>299.45534463451946</v>
      </c>
      <c r="D15" s="30">
        <v>0.57725201541683668</v>
      </c>
      <c r="E15" s="31">
        <v>15</v>
      </c>
      <c r="F15" s="32">
        <v>330.00714328689708</v>
      </c>
      <c r="G15" s="34">
        <v>47.935811821360041</v>
      </c>
      <c r="H15" s="30">
        <v>0.14525689154457563</v>
      </c>
      <c r="I15" s="31">
        <v>9</v>
      </c>
      <c r="J15" s="150">
        <v>273.49662303490084</v>
      </c>
      <c r="K15" s="151">
        <v>51.060236491592384</v>
      </c>
      <c r="L15" s="30">
        <v>0.18669421188822724</v>
      </c>
      <c r="M15" s="31">
        <v>1</v>
      </c>
      <c r="N15" s="32">
        <v>421.89346071100698</v>
      </c>
      <c r="O15" s="34">
        <v>145.06559573738414</v>
      </c>
      <c r="P15" s="30">
        <v>0.34384414371559247</v>
      </c>
      <c r="Q15" s="31">
        <v>25</v>
      </c>
      <c r="R15" s="26"/>
      <c r="S15" s="26"/>
      <c r="T15" s="26"/>
    </row>
    <row r="16" spans="1:20" ht="24.75" customHeight="1" thickTop="1" x14ac:dyDescent="0.25">
      <c r="A16" s="152" t="s">
        <v>4</v>
      </c>
      <c r="B16" s="36">
        <v>132.96692124593164</v>
      </c>
      <c r="C16" s="37">
        <v>19.56249826277444</v>
      </c>
      <c r="D16" s="38">
        <v>0.14712304443442914</v>
      </c>
      <c r="E16" s="39">
        <v>3064</v>
      </c>
      <c r="F16" s="36">
        <v>69.236820606528141</v>
      </c>
      <c r="G16" s="37">
        <v>11.566917987581544</v>
      </c>
      <c r="H16" s="38">
        <v>0.16706310148636336</v>
      </c>
      <c r="I16" s="39">
        <v>1824</v>
      </c>
      <c r="J16" s="36">
        <v>44.578275877021454</v>
      </c>
      <c r="K16" s="37">
        <v>11.619994646782192</v>
      </c>
      <c r="L16" s="38">
        <v>0.26066496332963596</v>
      </c>
      <c r="M16" s="39">
        <v>215</v>
      </c>
      <c r="N16" s="92">
        <v>104.398788412546</v>
      </c>
      <c r="O16" s="37">
        <v>11.895959998668772</v>
      </c>
      <c r="P16" s="38">
        <v>0.11394729938493414</v>
      </c>
      <c r="Q16" s="39">
        <v>5103</v>
      </c>
    </row>
    <row r="17" spans="1:20" ht="16.5" customHeight="1" x14ac:dyDescent="0.25">
      <c r="A17" s="40"/>
      <c r="B17" s="41"/>
      <c r="C17" s="41"/>
      <c r="D17" s="41"/>
      <c r="E17" s="41"/>
      <c r="F17" s="41"/>
      <c r="G17" s="41"/>
      <c r="H17" s="41"/>
      <c r="I17" s="41"/>
      <c r="J17" s="41"/>
      <c r="K17" s="41"/>
      <c r="L17" s="41"/>
      <c r="M17" s="41"/>
      <c r="N17" s="41"/>
      <c r="O17" s="41"/>
      <c r="P17" s="41"/>
      <c r="Q17" s="41"/>
    </row>
    <row r="18" spans="1:20" ht="45" x14ac:dyDescent="0.25">
      <c r="A18" s="5" t="s">
        <v>45</v>
      </c>
      <c r="B18" s="17" t="s">
        <v>235</v>
      </c>
      <c r="C18" s="18" t="s">
        <v>135</v>
      </c>
      <c r="D18" s="18" t="s">
        <v>8</v>
      </c>
      <c r="E18" s="19" t="s">
        <v>9</v>
      </c>
      <c r="F18" s="17" t="s">
        <v>235</v>
      </c>
      <c r="G18" s="18" t="s">
        <v>135</v>
      </c>
      <c r="H18" s="18" t="s">
        <v>8</v>
      </c>
      <c r="I18" s="19" t="s">
        <v>9</v>
      </c>
      <c r="J18" s="17" t="s">
        <v>235</v>
      </c>
      <c r="K18" s="18" t="s">
        <v>135</v>
      </c>
      <c r="L18" s="18" t="s">
        <v>8</v>
      </c>
      <c r="M18" s="20" t="s">
        <v>9</v>
      </c>
      <c r="N18" s="17" t="s">
        <v>235</v>
      </c>
      <c r="O18" s="18" t="s">
        <v>135</v>
      </c>
      <c r="P18" s="18" t="s">
        <v>8</v>
      </c>
      <c r="Q18" s="19" t="s">
        <v>9</v>
      </c>
    </row>
    <row r="19" spans="1:20" x14ac:dyDescent="0.25">
      <c r="A19" s="50" t="s">
        <v>22</v>
      </c>
      <c r="B19" s="22">
        <v>153.76446467703869</v>
      </c>
      <c r="C19" s="23">
        <v>23.972485975229851</v>
      </c>
      <c r="D19" s="24">
        <v>0.15590394065092211</v>
      </c>
      <c r="E19" s="25">
        <v>2522</v>
      </c>
      <c r="F19" s="22">
        <v>100.07745608996014</v>
      </c>
      <c r="G19" s="23">
        <v>19.966184759792988</v>
      </c>
      <c r="H19" s="24">
        <v>0.19950731703097332</v>
      </c>
      <c r="I19" s="25">
        <v>1269</v>
      </c>
      <c r="J19" s="22">
        <v>63.653561166330512</v>
      </c>
      <c r="K19" s="23">
        <v>17.414766648291859</v>
      </c>
      <c r="L19" s="24">
        <v>0.27358668280610487</v>
      </c>
      <c r="M19" s="25">
        <v>149</v>
      </c>
      <c r="N19" s="22">
        <v>133.39149733247277</v>
      </c>
      <c r="O19" s="23">
        <v>16.682480845128641</v>
      </c>
      <c r="P19" s="24">
        <v>0.12506404964889367</v>
      </c>
      <c r="Q19" s="25">
        <v>3940</v>
      </c>
      <c r="R19" s="26"/>
      <c r="S19" s="26"/>
      <c r="T19" s="26"/>
    </row>
    <row r="20" spans="1:20" ht="15.75" thickBot="1" x14ac:dyDescent="0.3">
      <c r="A20" s="51" t="s">
        <v>23</v>
      </c>
      <c r="B20" s="28">
        <v>66.709897193507842</v>
      </c>
      <c r="C20" s="29">
        <v>18.951308823213434</v>
      </c>
      <c r="D20" s="30">
        <v>0.28408541491588091</v>
      </c>
      <c r="E20" s="31">
        <v>542</v>
      </c>
      <c r="F20" s="28">
        <v>31.470393001450088</v>
      </c>
      <c r="G20" s="29">
        <v>9.0462887423010319</v>
      </c>
      <c r="H20" s="30">
        <v>0.28745394891904269</v>
      </c>
      <c r="I20" s="31">
        <v>555</v>
      </c>
      <c r="J20" s="28">
        <v>12.734691764830664</v>
      </c>
      <c r="K20" s="29">
        <v>5.9586346830434209</v>
      </c>
      <c r="L20" s="30">
        <v>0.46790568575042807</v>
      </c>
      <c r="M20" s="31">
        <v>66</v>
      </c>
      <c r="N20" s="28">
        <v>45.273767042847844</v>
      </c>
      <c r="O20" s="29">
        <v>9.0828737249908347</v>
      </c>
      <c r="P20" s="30">
        <v>0.20062111722213555</v>
      </c>
      <c r="Q20" s="31">
        <v>1163</v>
      </c>
      <c r="R20" s="26"/>
      <c r="S20" s="26"/>
      <c r="T20" s="26"/>
    </row>
    <row r="21" spans="1:20" ht="24.75" customHeight="1" thickTop="1" x14ac:dyDescent="0.25">
      <c r="A21" s="35" t="s">
        <v>4</v>
      </c>
      <c r="B21" s="36">
        <v>132.96692124593164</v>
      </c>
      <c r="C21" s="37">
        <v>19.56249826277444</v>
      </c>
      <c r="D21" s="38">
        <v>0.14712304443442914</v>
      </c>
      <c r="E21" s="39">
        <v>3064</v>
      </c>
      <c r="F21" s="36">
        <v>69.236820606528141</v>
      </c>
      <c r="G21" s="37">
        <v>11.566917987581544</v>
      </c>
      <c r="H21" s="38">
        <v>0.16706310148636336</v>
      </c>
      <c r="I21" s="39">
        <v>1824</v>
      </c>
      <c r="J21" s="36">
        <v>44.578275877021454</v>
      </c>
      <c r="K21" s="37">
        <v>11.619994646782192</v>
      </c>
      <c r="L21" s="38">
        <v>0.26066496332963596</v>
      </c>
      <c r="M21" s="39">
        <v>215</v>
      </c>
      <c r="N21" s="92">
        <v>104.398788412546</v>
      </c>
      <c r="O21" s="37">
        <v>11.895959998668772</v>
      </c>
      <c r="P21" s="38">
        <v>0.11394729938493414</v>
      </c>
      <c r="Q21" s="39">
        <v>5103</v>
      </c>
    </row>
    <row r="22" spans="1:20" ht="16.5" customHeight="1" x14ac:dyDescent="0.25">
      <c r="A22" s="40"/>
      <c r="B22" s="41"/>
      <c r="C22" s="41"/>
      <c r="D22" s="41"/>
      <c r="E22" s="41"/>
      <c r="F22" s="41"/>
      <c r="G22" s="41"/>
      <c r="H22" s="41"/>
      <c r="I22" s="41"/>
      <c r="J22" s="41"/>
      <c r="K22" s="41"/>
      <c r="L22" s="41"/>
      <c r="M22" s="41"/>
      <c r="N22" s="41"/>
      <c r="O22" s="41"/>
      <c r="P22" s="41"/>
      <c r="Q22" s="41"/>
    </row>
    <row r="23" spans="1:20" x14ac:dyDescent="0.25">
      <c r="A23" s="40" t="s">
        <v>236</v>
      </c>
      <c r="B23" s="44" t="s">
        <v>26</v>
      </c>
      <c r="C23" s="4" t="s">
        <v>110</v>
      </c>
    </row>
    <row r="24" spans="1:20" x14ac:dyDescent="0.25">
      <c r="A24" s="40"/>
      <c r="B24" s="45" t="s">
        <v>26</v>
      </c>
      <c r="C24" s="4" t="s">
        <v>29</v>
      </c>
    </row>
    <row r="25" spans="1:20" x14ac:dyDescent="0.25">
      <c r="A25" s="154" t="s">
        <v>240</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mergeCells count="2">
    <mergeCell ref="N2:Q2"/>
    <mergeCell ref="N3:Q3"/>
  </mergeCells>
  <conditionalFormatting sqref="M5:M15">
    <cfRule type="expression" dxfId="100" priority="32">
      <formula>M5&lt;=1</formula>
    </cfRule>
  </conditionalFormatting>
  <conditionalFormatting sqref="L5:L15 L19:L20 H19:H20 D19:D20 P19:P20">
    <cfRule type="expression" dxfId="99" priority="28">
      <formula>OR(D5&gt;=0.5,E5&lt;=5)</formula>
    </cfRule>
    <cfRule type="expression" dxfId="98" priority="31">
      <formula>E5&lt;=1</formula>
    </cfRule>
  </conditionalFormatting>
  <conditionalFormatting sqref="K5:K15 K19:K20 G19:G20 C19:C20 O19:O20">
    <cfRule type="expression" dxfId="97" priority="27">
      <formula>OR(D5&gt;=0.5,E5&lt;=5)</formula>
    </cfRule>
    <cfRule type="expression" dxfId="96" priority="30">
      <formula>E5&lt;=1</formula>
    </cfRule>
  </conditionalFormatting>
  <conditionalFormatting sqref="J5:J15 J19:J20">
    <cfRule type="expression" dxfId="95" priority="26">
      <formula>OR(L5&gt;=0.5,M5&lt;=5)</formula>
    </cfRule>
    <cfRule type="expression" dxfId="94" priority="29">
      <formula>M5&lt;=1</formula>
    </cfRule>
  </conditionalFormatting>
  <conditionalFormatting sqref="I5:I15">
    <cfRule type="expression" dxfId="93" priority="25">
      <formula>I5&lt;=1</formula>
    </cfRule>
  </conditionalFormatting>
  <conditionalFormatting sqref="H5:H15">
    <cfRule type="expression" dxfId="92" priority="21">
      <formula>OR(H5&gt;=0.5,I5&lt;=5)</formula>
    </cfRule>
    <cfRule type="expression" dxfId="91" priority="24">
      <formula>I5&lt;=1</formula>
    </cfRule>
  </conditionalFormatting>
  <conditionalFormatting sqref="G5:G15">
    <cfRule type="expression" dxfId="90" priority="20">
      <formula>OR(H5&gt;=0.5,I5&lt;=5)</formula>
    </cfRule>
    <cfRule type="expression" dxfId="89" priority="23">
      <formula>I5&lt;=1</formula>
    </cfRule>
  </conditionalFormatting>
  <conditionalFormatting sqref="F5:F15 F19:F20 B19:B20 N19:N20">
    <cfRule type="expression" dxfId="88" priority="19">
      <formula>OR(D5&gt;=0.5,E5&lt;=5)</formula>
    </cfRule>
    <cfRule type="expression" dxfId="87" priority="22">
      <formula>E5&lt;=1</formula>
    </cfRule>
  </conditionalFormatting>
  <conditionalFormatting sqref="E5:E15">
    <cfRule type="expression" dxfId="86" priority="18">
      <formula>E5&lt;=1</formula>
    </cfRule>
  </conditionalFormatting>
  <conditionalFormatting sqref="D5:D15">
    <cfRule type="expression" dxfId="85" priority="14">
      <formula>OR(D5&gt;=0.5,E5&lt;=5)</formula>
    </cfRule>
    <cfRule type="expression" dxfId="84" priority="17">
      <formula>E5&lt;=1</formula>
    </cfRule>
  </conditionalFormatting>
  <conditionalFormatting sqref="C5:C15">
    <cfRule type="expression" dxfId="83" priority="13">
      <formula>OR(D5&gt;=0.5,E5&lt;=5)</formula>
    </cfRule>
    <cfRule type="expression" dxfId="82" priority="16">
      <formula>E5&lt;=1</formula>
    </cfRule>
  </conditionalFormatting>
  <conditionalFormatting sqref="B5:B15">
    <cfRule type="expression" dxfId="81" priority="12">
      <formula>OR(D5&gt;=0.5,E5&lt;=5)</formula>
    </cfRule>
    <cfRule type="expression" dxfId="80" priority="15">
      <formula>E5&lt;=1</formula>
    </cfRule>
  </conditionalFormatting>
  <conditionalFormatting sqref="Q5:Q15">
    <cfRule type="expression" dxfId="79" priority="11">
      <formula>Q5&lt;=1</formula>
    </cfRule>
  </conditionalFormatting>
  <conditionalFormatting sqref="P5:P15">
    <cfRule type="expression" dxfId="78" priority="7">
      <formula>OR(P5&gt;=0.5,Q5&lt;=5)</formula>
    </cfRule>
    <cfRule type="expression" dxfId="77" priority="10">
      <formula>Q5&lt;=1</formula>
    </cfRule>
  </conditionalFormatting>
  <conditionalFormatting sqref="O5:O15">
    <cfRule type="expression" dxfId="76" priority="6">
      <formula>OR(P5&gt;=0.5,Q5&lt;=5)</formula>
    </cfRule>
    <cfRule type="expression" dxfId="75" priority="9">
      <formula>Q5&lt;=1</formula>
    </cfRule>
  </conditionalFormatting>
  <conditionalFormatting sqref="N5:N15">
    <cfRule type="expression" dxfId="74" priority="5">
      <formula>OR(P5&gt;=0.5,Q5&lt;=5)</formula>
    </cfRule>
    <cfRule type="expression" dxfId="73" priority="8">
      <formula>Q5&lt;=1</formula>
    </cfRule>
  </conditionalFormatting>
  <conditionalFormatting sqref="M19:M20">
    <cfRule type="expression" dxfId="72" priority="4">
      <formula>M19&lt;=1</formula>
    </cfRule>
  </conditionalFormatting>
  <conditionalFormatting sqref="I19:I20">
    <cfRule type="expression" dxfId="71" priority="3">
      <formula>I19&lt;=1</formula>
    </cfRule>
  </conditionalFormatting>
  <conditionalFormatting sqref="E19:E20">
    <cfRule type="expression" dxfId="70" priority="2">
      <formula>E19&lt;=1</formula>
    </cfRule>
  </conditionalFormatting>
  <conditionalFormatting sqref="Q19:Q20">
    <cfRule type="expression" dxfId="69" priority="1">
      <formula>Q19&lt;=1</formula>
    </cfRule>
  </conditionalFormatting>
  <hyperlinks>
    <hyperlink ref="A25" location="Überblick!A1" display="zurück zur Übersicht" xr:uid="{99FF6534-9E7D-41B3-A8BC-002288A66161}"/>
  </hyperlinks>
  <pageMargins left="0.7" right="0.7" top="0.78740157499999996" bottom="0.78740157499999996"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B46D8-1C9B-4195-9155-45A7CA3EB815}">
  <dimension ref="A1:T29"/>
  <sheetViews>
    <sheetView workbookViewId="0"/>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
        <v>278</v>
      </c>
      <c r="B1" s="2"/>
      <c r="C1" s="2"/>
      <c r="D1" s="2"/>
      <c r="E1" s="2"/>
      <c r="F1" s="2"/>
      <c r="G1" s="2"/>
      <c r="H1" s="2"/>
      <c r="I1" s="2"/>
      <c r="J1" s="2"/>
      <c r="K1" s="2"/>
      <c r="L1" s="2"/>
      <c r="M1" s="2"/>
      <c r="N1" s="2"/>
      <c r="O1" s="2"/>
      <c r="P1" s="2"/>
      <c r="Q1" s="3"/>
    </row>
    <row r="2" spans="1:20" ht="36.75" customHeight="1" x14ac:dyDescent="0.25">
      <c r="A2" s="52" t="s">
        <v>241</v>
      </c>
      <c r="B2" s="6" t="s">
        <v>0</v>
      </c>
      <c r="C2" s="7"/>
      <c r="D2" s="7"/>
      <c r="E2" s="7"/>
      <c r="F2" s="7"/>
      <c r="G2" s="7"/>
      <c r="H2" s="7"/>
      <c r="I2" s="7"/>
      <c r="J2" s="7"/>
      <c r="K2" s="7"/>
      <c r="L2" s="7"/>
      <c r="M2" s="8"/>
      <c r="N2" s="170"/>
      <c r="O2" s="171"/>
      <c r="P2" s="171"/>
      <c r="Q2" s="172"/>
    </row>
    <row r="3" spans="1:20" ht="50.25" customHeight="1" x14ac:dyDescent="0.25">
      <c r="A3" s="52" t="s">
        <v>234</v>
      </c>
      <c r="B3" s="11" t="s">
        <v>1</v>
      </c>
      <c r="C3" s="12"/>
      <c r="D3" s="12"/>
      <c r="E3" s="13"/>
      <c r="F3" s="11" t="s">
        <v>33</v>
      </c>
      <c r="G3" s="12"/>
      <c r="H3" s="12"/>
      <c r="I3" s="13"/>
      <c r="J3" s="11" t="s">
        <v>3</v>
      </c>
      <c r="K3" s="12"/>
      <c r="L3" s="12"/>
      <c r="M3" s="14"/>
      <c r="N3" s="170" t="s">
        <v>4</v>
      </c>
      <c r="O3" s="171"/>
      <c r="P3" s="171"/>
      <c r="Q3" s="172"/>
    </row>
    <row r="4" spans="1:20" ht="45" x14ac:dyDescent="0.25">
      <c r="A4" s="5" t="s">
        <v>5</v>
      </c>
      <c r="B4" s="17" t="s">
        <v>235</v>
      </c>
      <c r="C4" s="18" t="s">
        <v>135</v>
      </c>
      <c r="D4" s="18" t="s">
        <v>8</v>
      </c>
      <c r="E4" s="19" t="s">
        <v>9</v>
      </c>
      <c r="F4" s="17" t="s">
        <v>235</v>
      </c>
      <c r="G4" s="18" t="s">
        <v>135</v>
      </c>
      <c r="H4" s="18" t="s">
        <v>8</v>
      </c>
      <c r="I4" s="19" t="s">
        <v>9</v>
      </c>
      <c r="J4" s="17" t="s">
        <v>235</v>
      </c>
      <c r="K4" s="18" t="s">
        <v>135</v>
      </c>
      <c r="L4" s="18" t="s">
        <v>8</v>
      </c>
      <c r="M4" s="20" t="s">
        <v>9</v>
      </c>
      <c r="N4" s="17" t="s">
        <v>235</v>
      </c>
      <c r="O4" s="18" t="s">
        <v>135</v>
      </c>
      <c r="P4" s="18" t="s">
        <v>8</v>
      </c>
      <c r="Q4" s="19" t="s">
        <v>9</v>
      </c>
    </row>
    <row r="5" spans="1:20" x14ac:dyDescent="0.25">
      <c r="A5" s="21" t="s">
        <v>10</v>
      </c>
      <c r="B5" s="22">
        <v>107.73609109171505</v>
      </c>
      <c r="C5" s="23">
        <v>40.005023062909096</v>
      </c>
      <c r="D5" s="24">
        <v>0.37132424851810403</v>
      </c>
      <c r="E5" s="25">
        <v>610</v>
      </c>
      <c r="F5" s="22">
        <v>64.951939849440734</v>
      </c>
      <c r="G5" s="23">
        <v>24.166021850256239</v>
      </c>
      <c r="H5" s="24">
        <v>0.3720600478796065</v>
      </c>
      <c r="I5" s="25">
        <v>321</v>
      </c>
      <c r="J5" s="22">
        <v>24.155875879076692</v>
      </c>
      <c r="K5" s="23">
        <v>7.3387254478118047</v>
      </c>
      <c r="L5" s="24">
        <v>0.30380705235236172</v>
      </c>
      <c r="M5" s="25">
        <v>20</v>
      </c>
      <c r="N5" s="22">
        <v>94.036830622251713</v>
      </c>
      <c r="O5" s="23">
        <v>27.916815698417917</v>
      </c>
      <c r="P5" s="24">
        <v>0.29687108246512967</v>
      </c>
      <c r="Q5" s="25">
        <v>951</v>
      </c>
      <c r="R5" s="26"/>
      <c r="S5" s="26"/>
      <c r="T5" s="26"/>
    </row>
    <row r="6" spans="1:20" x14ac:dyDescent="0.25">
      <c r="A6" s="27" t="s">
        <v>11</v>
      </c>
      <c r="B6" s="28">
        <v>327.57380437977275</v>
      </c>
      <c r="C6" s="29">
        <v>120.45063408056642</v>
      </c>
      <c r="D6" s="30">
        <v>0.36770533073799133</v>
      </c>
      <c r="E6" s="31">
        <v>63</v>
      </c>
      <c r="F6" s="28">
        <v>270.41739032288302</v>
      </c>
      <c r="G6" s="29">
        <v>170.84412014807756</v>
      </c>
      <c r="H6" s="30">
        <v>0.63177933913231965</v>
      </c>
      <c r="I6" s="31">
        <v>45</v>
      </c>
      <c r="J6" s="28">
        <v>62.613469548321724</v>
      </c>
      <c r="K6" s="29">
        <v>41.395339859453152</v>
      </c>
      <c r="L6" s="30">
        <v>0.66112515658482152</v>
      </c>
      <c r="M6" s="31">
        <v>15</v>
      </c>
      <c r="N6" s="28">
        <v>290.99804463972248</v>
      </c>
      <c r="O6" s="29">
        <v>97.719183803821238</v>
      </c>
      <c r="P6" s="30">
        <v>0.33580701177839511</v>
      </c>
      <c r="Q6" s="31">
        <v>123</v>
      </c>
      <c r="R6" s="26"/>
      <c r="S6" s="26"/>
      <c r="T6" s="26"/>
    </row>
    <row r="7" spans="1:20" x14ac:dyDescent="0.25">
      <c r="A7" s="27" t="s">
        <v>12</v>
      </c>
      <c r="B7" s="28">
        <v>133.59344924084814</v>
      </c>
      <c r="C7" s="29">
        <v>42.932971671869382</v>
      </c>
      <c r="D7" s="30">
        <v>0.3213703360145147</v>
      </c>
      <c r="E7" s="31">
        <v>109</v>
      </c>
      <c r="F7" s="28">
        <v>118.55247251974862</v>
      </c>
      <c r="G7" s="29">
        <v>51.052712240437813</v>
      </c>
      <c r="H7" s="30">
        <v>0.43063388856721979</v>
      </c>
      <c r="I7" s="31">
        <v>66</v>
      </c>
      <c r="J7" s="28">
        <v>81.892134635654315</v>
      </c>
      <c r="K7" s="29">
        <v>53.593932770407015</v>
      </c>
      <c r="L7" s="30">
        <v>0.65444542395739691</v>
      </c>
      <c r="M7" s="31">
        <v>13</v>
      </c>
      <c r="N7" s="28">
        <v>123.3309633836944</v>
      </c>
      <c r="O7" s="29">
        <v>38.137809568893452</v>
      </c>
      <c r="P7" s="30">
        <v>0.30923142512268464</v>
      </c>
      <c r="Q7" s="31">
        <v>188</v>
      </c>
      <c r="R7" s="26"/>
      <c r="S7" s="26"/>
      <c r="T7" s="26"/>
    </row>
    <row r="8" spans="1:20" x14ac:dyDescent="0.25">
      <c r="A8" s="27" t="s">
        <v>13</v>
      </c>
      <c r="B8" s="28">
        <v>192.84527049082507</v>
      </c>
      <c r="C8" s="29">
        <v>22.199061028631256</v>
      </c>
      <c r="D8" s="30">
        <v>0.11511332879531216</v>
      </c>
      <c r="E8" s="31">
        <v>790</v>
      </c>
      <c r="F8" s="28">
        <v>160.95145351453968</v>
      </c>
      <c r="G8" s="29">
        <v>76.780667704013212</v>
      </c>
      <c r="H8" s="30">
        <v>0.47704240022335165</v>
      </c>
      <c r="I8" s="31">
        <v>284</v>
      </c>
      <c r="J8" s="28">
        <v>128.41318257086354</v>
      </c>
      <c r="K8" s="29">
        <v>61.419988825573114</v>
      </c>
      <c r="L8" s="30">
        <v>0.47829971655502818</v>
      </c>
      <c r="M8" s="31">
        <v>29</v>
      </c>
      <c r="N8" s="28">
        <v>183.64357447518472</v>
      </c>
      <c r="O8" s="29">
        <v>41.220604395911124</v>
      </c>
      <c r="P8" s="30">
        <v>0.22445982394816191</v>
      </c>
      <c r="Q8" s="31">
        <v>1103</v>
      </c>
      <c r="R8" s="26"/>
      <c r="S8" s="26"/>
      <c r="T8" s="26"/>
    </row>
    <row r="9" spans="1:20" x14ac:dyDescent="0.25">
      <c r="A9" s="27" t="s">
        <v>14</v>
      </c>
      <c r="B9" s="28">
        <v>166.82170427920676</v>
      </c>
      <c r="C9" s="29">
        <v>38.615900923524862</v>
      </c>
      <c r="D9" s="30">
        <v>0.23148007683037491</v>
      </c>
      <c r="E9" s="31">
        <v>326</v>
      </c>
      <c r="F9" s="28">
        <v>122.73584589955321</v>
      </c>
      <c r="G9" s="29">
        <v>64.853999526022022</v>
      </c>
      <c r="H9" s="30">
        <v>0.52840308428801164</v>
      </c>
      <c r="I9" s="31">
        <v>120</v>
      </c>
      <c r="J9" s="28">
        <v>28.169069576328244</v>
      </c>
      <c r="K9" s="29">
        <v>22.468399397600667</v>
      </c>
      <c r="L9" s="30">
        <v>0.79762660732258939</v>
      </c>
      <c r="M9" s="31">
        <v>17</v>
      </c>
      <c r="N9" s="28">
        <v>147.12050192049153</v>
      </c>
      <c r="O9" s="29">
        <v>34.693432877356045</v>
      </c>
      <c r="P9" s="30">
        <v>0.23581643907186672</v>
      </c>
      <c r="Q9" s="31">
        <v>463</v>
      </c>
      <c r="R9" s="26"/>
      <c r="S9" s="26"/>
      <c r="T9" s="26"/>
    </row>
    <row r="10" spans="1:20" x14ac:dyDescent="0.25">
      <c r="A10" s="27" t="s">
        <v>15</v>
      </c>
      <c r="B10" s="28">
        <v>229.92981540875707</v>
      </c>
      <c r="C10" s="29">
        <v>104.01101334057887</v>
      </c>
      <c r="D10" s="30">
        <v>0.45235983491603121</v>
      </c>
      <c r="E10" s="31">
        <v>226</v>
      </c>
      <c r="F10" s="28">
        <v>87.420865578159862</v>
      </c>
      <c r="G10" s="29">
        <v>26.205282544639779</v>
      </c>
      <c r="H10" s="30">
        <v>0.29976004437076381</v>
      </c>
      <c r="I10" s="31">
        <v>128</v>
      </c>
      <c r="J10" s="28">
        <v>38.931591405473199</v>
      </c>
      <c r="K10" s="29">
        <v>16.673330629779436</v>
      </c>
      <c r="L10" s="30">
        <v>0.42827251668513644</v>
      </c>
      <c r="M10" s="31">
        <v>10</v>
      </c>
      <c r="N10" s="28">
        <v>178.61592312001022</v>
      </c>
      <c r="O10" s="29">
        <v>72.302928319279673</v>
      </c>
      <c r="P10" s="30">
        <v>0.40479553589799533</v>
      </c>
      <c r="Q10" s="31">
        <v>364</v>
      </c>
      <c r="R10" s="26"/>
      <c r="S10" s="26"/>
      <c r="T10" s="26"/>
    </row>
    <row r="11" spans="1:20" ht="16.5" customHeight="1" x14ac:dyDescent="0.25">
      <c r="A11" s="27" t="s">
        <v>16</v>
      </c>
      <c r="B11" s="28">
        <v>193.77647225678456</v>
      </c>
      <c r="C11" s="29">
        <v>41.515583386053223</v>
      </c>
      <c r="D11" s="30">
        <v>0.21424470629766906</v>
      </c>
      <c r="E11" s="31">
        <v>221</v>
      </c>
      <c r="F11" s="28">
        <v>109.370488131326</v>
      </c>
      <c r="G11" s="29">
        <v>67.419112068052485</v>
      </c>
      <c r="H11" s="30">
        <v>0.61642873886691774</v>
      </c>
      <c r="I11" s="31">
        <v>106</v>
      </c>
      <c r="J11" s="28">
        <v>42.27349478778892</v>
      </c>
      <c r="K11" s="29">
        <v>22.680369670903161</v>
      </c>
      <c r="L11" s="30">
        <v>0.53651513282158514</v>
      </c>
      <c r="M11" s="31">
        <v>9</v>
      </c>
      <c r="N11" s="28">
        <v>172.87617362811832</v>
      </c>
      <c r="O11" s="29">
        <v>35.346994249142277</v>
      </c>
      <c r="P11" s="30">
        <v>0.20446423302483996</v>
      </c>
      <c r="Q11" s="31">
        <v>336</v>
      </c>
      <c r="R11" s="26"/>
      <c r="S11" s="26"/>
      <c r="T11" s="26"/>
    </row>
    <row r="12" spans="1:20" x14ac:dyDescent="0.25">
      <c r="A12" s="27" t="s">
        <v>17</v>
      </c>
      <c r="B12" s="28">
        <v>52.15661468337624</v>
      </c>
      <c r="C12" s="29">
        <v>14.749183464539426</v>
      </c>
      <c r="D12" s="30">
        <v>0.28278644145284987</v>
      </c>
      <c r="E12" s="31">
        <v>457</v>
      </c>
      <c r="F12" s="28">
        <v>23.096427742659674</v>
      </c>
      <c r="G12" s="29">
        <v>5.9331039735033047</v>
      </c>
      <c r="H12" s="30">
        <v>0.25688405322285901</v>
      </c>
      <c r="I12" s="31">
        <v>473</v>
      </c>
      <c r="J12" s="28">
        <v>9.7021115097406927</v>
      </c>
      <c r="K12" s="29">
        <v>4.2820135414927636</v>
      </c>
      <c r="L12" s="30">
        <v>0.44134862160610322</v>
      </c>
      <c r="M12" s="31">
        <v>58</v>
      </c>
      <c r="N12" s="28">
        <v>33.649504842901656</v>
      </c>
      <c r="O12" s="29">
        <v>7.0141668818552647</v>
      </c>
      <c r="P12" s="30">
        <v>0.20844784832947993</v>
      </c>
      <c r="Q12" s="31">
        <v>988</v>
      </c>
      <c r="R12" s="26"/>
      <c r="S12" s="26"/>
      <c r="T12" s="26"/>
    </row>
    <row r="13" spans="1:20" x14ac:dyDescent="0.25">
      <c r="A13" s="27" t="s">
        <v>18</v>
      </c>
      <c r="B13" s="28">
        <v>102.35598882299912</v>
      </c>
      <c r="C13" s="29">
        <v>57.58305157130696</v>
      </c>
      <c r="D13" s="30">
        <v>0.56257628140238536</v>
      </c>
      <c r="E13" s="31">
        <v>100</v>
      </c>
      <c r="F13" s="28">
        <v>77.572280161703688</v>
      </c>
      <c r="G13" s="29">
        <v>24.993811754113693</v>
      </c>
      <c r="H13" s="30">
        <v>0.32220029760647384</v>
      </c>
      <c r="I13" s="31">
        <v>117</v>
      </c>
      <c r="J13" s="28">
        <v>4.8080061425576662E-4</v>
      </c>
      <c r="K13" s="29">
        <v>4.9713847388537056E-4</v>
      </c>
      <c r="L13" s="30">
        <v>1.0339805298603735</v>
      </c>
      <c r="M13" s="31">
        <v>10</v>
      </c>
      <c r="N13" s="28">
        <v>90.961939575381507</v>
      </c>
      <c r="O13" s="29">
        <v>31.27811457320507</v>
      </c>
      <c r="P13" s="30">
        <v>0.34385936270943773</v>
      </c>
      <c r="Q13" s="31">
        <v>227</v>
      </c>
      <c r="R13" s="26"/>
      <c r="S13" s="26"/>
      <c r="T13" s="26"/>
    </row>
    <row r="14" spans="1:20" x14ac:dyDescent="0.25">
      <c r="A14" s="27" t="s">
        <v>19</v>
      </c>
      <c r="B14" s="32">
        <v>290.38705538680824</v>
      </c>
      <c r="C14" s="33">
        <v>62.806214639286544</v>
      </c>
      <c r="D14" s="30">
        <v>0.21628448470482239</v>
      </c>
      <c r="E14" s="31">
        <v>21</v>
      </c>
      <c r="F14" s="32">
        <v>146.25721668433943</v>
      </c>
      <c r="G14" s="33">
        <v>64.889798510496078</v>
      </c>
      <c r="H14" s="30">
        <v>0.44366903720412582</v>
      </c>
      <c r="I14" s="31">
        <v>19</v>
      </c>
      <c r="J14" s="148" t="e">
        <v>#DIV/0!</v>
      </c>
      <c r="K14" s="149" t="e">
        <v>#DIV/0!</v>
      </c>
      <c r="L14" s="30" t="e">
        <v>#DIV/0!</v>
      </c>
      <c r="M14" s="31">
        <v>0</v>
      </c>
      <c r="N14" s="32">
        <v>206.46063747354623</v>
      </c>
      <c r="O14" s="33">
        <v>72.482616907706799</v>
      </c>
      <c r="P14" s="30">
        <v>0.35107232930535726</v>
      </c>
      <c r="Q14" s="31">
        <v>40</v>
      </c>
      <c r="R14" s="26"/>
      <c r="S14" s="26"/>
      <c r="T14" s="26"/>
    </row>
    <row r="15" spans="1:20" ht="15.75" thickBot="1" x14ac:dyDescent="0.3">
      <c r="A15" s="27" t="s">
        <v>20</v>
      </c>
      <c r="B15" s="32">
        <v>551.79759664798576</v>
      </c>
      <c r="C15" s="34">
        <v>224.86401939276726</v>
      </c>
      <c r="D15" s="30">
        <v>0.4075117774320739</v>
      </c>
      <c r="E15" s="31">
        <v>12</v>
      </c>
      <c r="F15" s="32">
        <v>335.65425378862778</v>
      </c>
      <c r="G15" s="34">
        <v>48.052897598627936</v>
      </c>
      <c r="H15" s="30">
        <v>0.1431618907141525</v>
      </c>
      <c r="I15" s="31">
        <v>6</v>
      </c>
      <c r="J15" s="150">
        <v>0</v>
      </c>
      <c r="K15" s="151">
        <v>0</v>
      </c>
      <c r="L15" s="30" t="e">
        <v>#DIV/0!</v>
      </c>
      <c r="M15" s="31">
        <v>1</v>
      </c>
      <c r="N15" s="32">
        <v>430.0676173054494</v>
      </c>
      <c r="O15" s="34">
        <v>131.62868910062855</v>
      </c>
      <c r="P15" s="30">
        <v>0.3060651018677864</v>
      </c>
      <c r="Q15" s="31">
        <v>19</v>
      </c>
      <c r="R15" s="26"/>
      <c r="S15" s="26"/>
      <c r="T15" s="26"/>
    </row>
    <row r="16" spans="1:20" ht="24.75" customHeight="1" thickTop="1" x14ac:dyDescent="0.25">
      <c r="A16" s="35" t="s">
        <v>4</v>
      </c>
      <c r="B16" s="36">
        <v>133.16667987633321</v>
      </c>
      <c r="C16" s="37">
        <v>20.42108608379063</v>
      </c>
      <c r="D16" s="38">
        <v>0.15334981770781483</v>
      </c>
      <c r="E16" s="39">
        <v>2935</v>
      </c>
      <c r="F16" s="36">
        <v>68.538774910515741</v>
      </c>
      <c r="G16" s="37">
        <v>10.440508514809638</v>
      </c>
      <c r="H16" s="38">
        <v>0.15232995524709583</v>
      </c>
      <c r="I16" s="39">
        <v>1685</v>
      </c>
      <c r="J16" s="36">
        <v>44.667452088719955</v>
      </c>
      <c r="K16" s="37">
        <v>12.4178398711288</v>
      </c>
      <c r="L16" s="38">
        <v>0.27800645191187712</v>
      </c>
      <c r="M16" s="39">
        <v>182</v>
      </c>
      <c r="N16" s="92">
        <v>104.0716905267863</v>
      </c>
      <c r="O16" s="37">
        <v>11.807044898533235</v>
      </c>
      <c r="P16" s="38">
        <v>0.11345107241718438</v>
      </c>
      <c r="Q16" s="39">
        <v>4802</v>
      </c>
    </row>
    <row r="17" spans="1:20" ht="16.5" customHeight="1" x14ac:dyDescent="0.25">
      <c r="A17" s="40"/>
      <c r="B17" s="41"/>
      <c r="C17" s="41"/>
      <c r="D17" s="41"/>
      <c r="E17" s="41"/>
      <c r="F17" s="41"/>
      <c r="G17" s="41"/>
      <c r="H17" s="41"/>
      <c r="I17" s="41"/>
      <c r="J17" s="41"/>
      <c r="K17" s="41"/>
      <c r="L17" s="41"/>
      <c r="M17" s="41"/>
      <c r="N17" s="41"/>
      <c r="O17" s="41"/>
      <c r="P17" s="41"/>
      <c r="Q17" s="41"/>
    </row>
    <row r="18" spans="1:20" ht="45" x14ac:dyDescent="0.25">
      <c r="A18" s="5" t="s">
        <v>45</v>
      </c>
      <c r="B18" s="17" t="s">
        <v>235</v>
      </c>
      <c r="C18" s="18" t="s">
        <v>135</v>
      </c>
      <c r="D18" s="18" t="s">
        <v>8</v>
      </c>
      <c r="E18" s="19" t="s">
        <v>9</v>
      </c>
      <c r="F18" s="17" t="s">
        <v>235</v>
      </c>
      <c r="G18" s="18" t="s">
        <v>135</v>
      </c>
      <c r="H18" s="18" t="s">
        <v>8</v>
      </c>
      <c r="I18" s="19" t="s">
        <v>9</v>
      </c>
      <c r="J18" s="17" t="s">
        <v>235</v>
      </c>
      <c r="K18" s="18" t="s">
        <v>135</v>
      </c>
      <c r="L18" s="18" t="s">
        <v>8</v>
      </c>
      <c r="M18" s="20" t="s">
        <v>9</v>
      </c>
      <c r="N18" s="17" t="s">
        <v>235</v>
      </c>
      <c r="O18" s="18" t="s">
        <v>135</v>
      </c>
      <c r="P18" s="18" t="s">
        <v>8</v>
      </c>
      <c r="Q18" s="19" t="s">
        <v>9</v>
      </c>
    </row>
    <row r="19" spans="1:20" x14ac:dyDescent="0.25">
      <c r="A19" s="50" t="s">
        <v>22</v>
      </c>
      <c r="B19" s="22">
        <v>152.27763628453613</v>
      </c>
      <c r="C19" s="23">
        <v>24.493993515423082</v>
      </c>
      <c r="D19" s="24">
        <v>0.16085089126058663</v>
      </c>
      <c r="E19" s="25">
        <v>2445</v>
      </c>
      <c r="F19" s="22">
        <v>101.30189228180697</v>
      </c>
      <c r="G19" s="23">
        <v>18.782195145305437</v>
      </c>
      <c r="H19" s="24">
        <v>0.18540813722468413</v>
      </c>
      <c r="I19" s="25">
        <v>1187</v>
      </c>
      <c r="J19" s="22">
        <v>66.052169239579257</v>
      </c>
      <c r="K19" s="23">
        <v>19.719649636206253</v>
      </c>
      <c r="L19" s="24">
        <v>0.29854658617918639</v>
      </c>
      <c r="M19" s="25">
        <v>123</v>
      </c>
      <c r="N19" s="22">
        <v>133.2747008794349</v>
      </c>
      <c r="O19" s="23">
        <v>16.593004387056347</v>
      </c>
      <c r="P19" s="24">
        <v>0.12450228196022722</v>
      </c>
      <c r="Q19" s="25">
        <v>3755</v>
      </c>
      <c r="R19" s="26"/>
      <c r="S19" s="26"/>
      <c r="T19" s="26"/>
    </row>
    <row r="20" spans="1:20" ht="15.75" thickBot="1" x14ac:dyDescent="0.3">
      <c r="A20" s="51" t="s">
        <v>23</v>
      </c>
      <c r="B20" s="28">
        <v>64.054802533243745</v>
      </c>
      <c r="C20" s="29">
        <v>17.845521747953864</v>
      </c>
      <c r="D20" s="30">
        <v>0.27859771698917085</v>
      </c>
      <c r="E20" s="31">
        <v>490</v>
      </c>
      <c r="F20" s="28">
        <v>28.751605003767864</v>
      </c>
      <c r="G20" s="29">
        <v>7.5888105976506122</v>
      </c>
      <c r="H20" s="30">
        <v>0.26394389449410244</v>
      </c>
      <c r="I20" s="31">
        <v>498</v>
      </c>
      <c r="J20" s="28">
        <v>12.536645854353539</v>
      </c>
      <c r="K20" s="29">
        <v>5.9838508412001206</v>
      </c>
      <c r="L20" s="30">
        <v>0.47730875632273989</v>
      </c>
      <c r="M20" s="31">
        <v>59</v>
      </c>
      <c r="N20" s="28">
        <v>41.637855512008841</v>
      </c>
      <c r="O20" s="29">
        <v>8.2807995048578995</v>
      </c>
      <c r="P20" s="30">
        <v>0.19887670493668005</v>
      </c>
      <c r="Q20" s="31">
        <v>1047</v>
      </c>
      <c r="R20" s="26"/>
      <c r="S20" s="26"/>
      <c r="T20" s="26"/>
    </row>
    <row r="21" spans="1:20" ht="24.75" customHeight="1" thickTop="1" x14ac:dyDescent="0.25">
      <c r="A21" s="35" t="s">
        <v>4</v>
      </c>
      <c r="B21" s="36">
        <v>133.16667987633321</v>
      </c>
      <c r="C21" s="37">
        <v>20.42108608379063</v>
      </c>
      <c r="D21" s="38">
        <v>0.15334981770781483</v>
      </c>
      <c r="E21" s="39">
        <v>2935</v>
      </c>
      <c r="F21" s="36">
        <v>68.538774910515741</v>
      </c>
      <c r="G21" s="37">
        <v>10.440508514809638</v>
      </c>
      <c r="H21" s="38">
        <v>0.15232995524709583</v>
      </c>
      <c r="I21" s="39">
        <v>1685</v>
      </c>
      <c r="J21" s="36">
        <v>44.667452088719955</v>
      </c>
      <c r="K21" s="37">
        <v>12.4178398711288</v>
      </c>
      <c r="L21" s="38">
        <v>0.27800645191187712</v>
      </c>
      <c r="M21" s="39">
        <v>182</v>
      </c>
      <c r="N21" s="92">
        <v>104.0716905267863</v>
      </c>
      <c r="O21" s="37">
        <v>11.807044898533235</v>
      </c>
      <c r="P21" s="38">
        <v>0.11345107241718438</v>
      </c>
      <c r="Q21" s="39">
        <v>4802</v>
      </c>
    </row>
    <row r="22" spans="1:20" ht="16.5" customHeight="1" x14ac:dyDescent="0.25">
      <c r="A22" s="40"/>
      <c r="B22" s="41"/>
      <c r="C22" s="41"/>
      <c r="D22" s="41"/>
      <c r="E22" s="41"/>
      <c r="F22" s="41"/>
      <c r="G22" s="41"/>
      <c r="H22" s="41"/>
      <c r="I22" s="41"/>
      <c r="J22" s="41"/>
      <c r="K22" s="41"/>
      <c r="L22" s="41"/>
      <c r="M22" s="41"/>
      <c r="N22" s="41"/>
      <c r="O22" s="41"/>
      <c r="P22" s="41"/>
      <c r="Q22" s="41"/>
    </row>
    <row r="23" spans="1:20" x14ac:dyDescent="0.25">
      <c r="A23" s="40" t="s">
        <v>236</v>
      </c>
      <c r="B23" s="44" t="s">
        <v>26</v>
      </c>
      <c r="C23" s="4" t="s">
        <v>110</v>
      </c>
    </row>
    <row r="24" spans="1:20" x14ac:dyDescent="0.25">
      <c r="A24" s="40"/>
      <c r="B24" s="45" t="s">
        <v>26</v>
      </c>
      <c r="C24" s="4" t="s">
        <v>29</v>
      </c>
    </row>
    <row r="25" spans="1:20" x14ac:dyDescent="0.25">
      <c r="A25" s="154" t="s">
        <v>240</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mergeCells count="2">
    <mergeCell ref="N2:Q2"/>
    <mergeCell ref="N3:Q3"/>
  </mergeCells>
  <conditionalFormatting sqref="M5:M15">
    <cfRule type="expression" dxfId="68" priority="33">
      <formula>M5&lt;=1</formula>
    </cfRule>
  </conditionalFormatting>
  <conditionalFormatting sqref="L5:L15 L19:L20 H19:H20 D19:D20 P19:P20">
    <cfRule type="expression" dxfId="67" priority="29">
      <formula>OR(D5&gt;=0.5,E5&lt;=5)</formula>
    </cfRule>
    <cfRule type="expression" dxfId="66" priority="32">
      <formula>E5&lt;=1</formula>
    </cfRule>
  </conditionalFormatting>
  <conditionalFormatting sqref="K5:K15 K19:K20 G19:G20 C19:C20 O19:O20">
    <cfRule type="expression" dxfId="65" priority="28">
      <formula>OR(D5&gt;=0.5,E5&lt;=5)</formula>
    </cfRule>
    <cfRule type="expression" dxfId="64" priority="31">
      <formula>E5&lt;=1</formula>
    </cfRule>
  </conditionalFormatting>
  <conditionalFormatting sqref="J5:J15 J19:J20">
    <cfRule type="expression" dxfId="63" priority="27">
      <formula>OR(L5&gt;=0.5,M5&lt;=5)</formula>
    </cfRule>
    <cfRule type="expression" dxfId="62" priority="30">
      <formula>M5&lt;=1</formula>
    </cfRule>
  </conditionalFormatting>
  <conditionalFormatting sqref="I5:I15">
    <cfRule type="expression" dxfId="61" priority="26">
      <formula>I5&lt;=1</formula>
    </cfRule>
  </conditionalFormatting>
  <conditionalFormatting sqref="H5:H15">
    <cfRule type="expression" dxfId="60" priority="22">
      <formula>OR(H5&gt;=0.5,I5&lt;=5)</formula>
    </cfRule>
    <cfRule type="expression" dxfId="59" priority="25">
      <formula>I5&lt;=1</formula>
    </cfRule>
  </conditionalFormatting>
  <conditionalFormatting sqref="G5:G15">
    <cfRule type="expression" dxfId="58" priority="21">
      <formula>OR(H5&gt;=0.5,I5&lt;=5)</formula>
    </cfRule>
    <cfRule type="expression" dxfId="57" priority="24">
      <formula>I5&lt;=1</formula>
    </cfRule>
  </conditionalFormatting>
  <conditionalFormatting sqref="F5:F15 F19:F20 B19:B20 N19:N20">
    <cfRule type="expression" dxfId="56" priority="20">
      <formula>OR(D5&gt;=0.5,E5&lt;=5)</formula>
    </cfRule>
    <cfRule type="expression" dxfId="55" priority="23">
      <formula>E5&lt;=1</formula>
    </cfRule>
  </conditionalFormatting>
  <conditionalFormatting sqref="E5:E15">
    <cfRule type="expression" dxfId="54" priority="19">
      <formula>E5&lt;=1</formula>
    </cfRule>
  </conditionalFormatting>
  <conditionalFormatting sqref="D5:D15">
    <cfRule type="expression" dxfId="53" priority="15">
      <formula>OR(D5&gt;=0.5,E5&lt;=5)</formula>
    </cfRule>
    <cfRule type="expression" dxfId="52" priority="18">
      <formula>E5&lt;=1</formula>
    </cfRule>
  </conditionalFormatting>
  <conditionalFormatting sqref="C5:C15">
    <cfRule type="expression" dxfId="51" priority="14">
      <formula>OR(D5&gt;=0.5,E5&lt;=5)</formula>
    </cfRule>
    <cfRule type="expression" dxfId="50" priority="17">
      <formula>E5&lt;=1</formula>
    </cfRule>
  </conditionalFormatting>
  <conditionalFormatting sqref="B5:B15">
    <cfRule type="expression" dxfId="49" priority="13">
      <formula>OR(D5&gt;=0.5,E5&lt;=5)</formula>
    </cfRule>
    <cfRule type="expression" dxfId="48" priority="16">
      <formula>E5&lt;=1</formula>
    </cfRule>
  </conditionalFormatting>
  <conditionalFormatting sqref="Q6:Q15">
    <cfRule type="expression" dxfId="47" priority="12">
      <formula>Q6&lt;=1</formula>
    </cfRule>
  </conditionalFormatting>
  <conditionalFormatting sqref="P5:P15">
    <cfRule type="expression" dxfId="46" priority="8">
      <formula>OR(P5&gt;=0.5,Q5&lt;=5)</formula>
    </cfRule>
    <cfRule type="expression" dxfId="45" priority="11">
      <formula>Q5&lt;=1</formula>
    </cfRule>
  </conditionalFormatting>
  <conditionalFormatting sqref="O5:O15">
    <cfRule type="expression" dxfId="44" priority="7">
      <formula>OR(P5&gt;=0.5,Q5&lt;=5)</formula>
    </cfRule>
    <cfRule type="expression" dxfId="43" priority="10">
      <formula>Q5&lt;=1</formula>
    </cfRule>
  </conditionalFormatting>
  <conditionalFormatting sqref="N5:N15">
    <cfRule type="expression" dxfId="42" priority="6">
      <formula>OR(P5&gt;=0.5,Q5&lt;=5)</formula>
    </cfRule>
    <cfRule type="expression" dxfId="41" priority="9">
      <formula>Q5&lt;=1</formula>
    </cfRule>
  </conditionalFormatting>
  <conditionalFormatting sqref="M19:M20">
    <cfRule type="expression" dxfId="40" priority="5">
      <formula>M19&lt;=1</formula>
    </cfRule>
  </conditionalFormatting>
  <conditionalFormatting sqref="I19:I20">
    <cfRule type="expression" dxfId="39" priority="4">
      <formula>I19&lt;=1</formula>
    </cfRule>
  </conditionalFormatting>
  <conditionalFormatting sqref="E19:E20">
    <cfRule type="expression" dxfId="38" priority="3">
      <formula>E19&lt;=1</formula>
    </cfRule>
  </conditionalFormatting>
  <conditionalFormatting sqref="Q19:Q20">
    <cfRule type="expression" dxfId="37" priority="2">
      <formula>Q19&lt;=1</formula>
    </cfRule>
  </conditionalFormatting>
  <conditionalFormatting sqref="Q5">
    <cfRule type="expression" dxfId="36" priority="1">
      <formula>Q5&lt;=1</formula>
    </cfRule>
  </conditionalFormatting>
  <hyperlinks>
    <hyperlink ref="A25" location="Überblick!A1" display="zurück zur Übersicht" xr:uid="{749B2E15-0026-4C43-BDA1-F1366C2A092A}"/>
  </hyperlinks>
  <pageMargins left="0.7" right="0.7" top="0.78740157499999996" bottom="0.78740157499999996"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92FDD-1619-4367-A2B7-67105BE6B33D}">
  <dimension ref="A1:T29"/>
  <sheetViews>
    <sheetView workbookViewId="0">
      <selection activeCell="D24" sqref="D24"/>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
        <v>279</v>
      </c>
      <c r="B1" s="2"/>
      <c r="C1" s="2"/>
      <c r="D1" s="2"/>
      <c r="E1" s="2"/>
      <c r="F1" s="2"/>
      <c r="G1" s="2"/>
      <c r="H1" s="2"/>
      <c r="I1" s="2"/>
      <c r="J1" s="2"/>
      <c r="K1" s="2"/>
      <c r="L1" s="2"/>
      <c r="M1" s="2"/>
      <c r="N1" s="2"/>
      <c r="O1" s="2"/>
      <c r="P1" s="2"/>
      <c r="Q1" s="3"/>
    </row>
    <row r="2" spans="1:20" ht="36.75" customHeight="1" x14ac:dyDescent="0.25">
      <c r="A2" s="52" t="s">
        <v>242</v>
      </c>
      <c r="B2" s="6" t="s">
        <v>0</v>
      </c>
      <c r="C2" s="7"/>
      <c r="D2" s="7"/>
      <c r="E2" s="7"/>
      <c r="F2" s="7"/>
      <c r="G2" s="7"/>
      <c r="H2" s="7"/>
      <c r="I2" s="7"/>
      <c r="J2" s="7"/>
      <c r="K2" s="7"/>
      <c r="L2" s="7"/>
      <c r="M2" s="8"/>
      <c r="N2" s="170"/>
      <c r="O2" s="171"/>
      <c r="P2" s="171"/>
      <c r="Q2" s="172"/>
    </row>
    <row r="3" spans="1:20" ht="50.25" customHeight="1" x14ac:dyDescent="0.25">
      <c r="A3" s="52" t="s">
        <v>234</v>
      </c>
      <c r="B3" s="11" t="s">
        <v>1</v>
      </c>
      <c r="C3" s="12"/>
      <c r="D3" s="12"/>
      <c r="E3" s="13"/>
      <c r="F3" s="11" t="s">
        <v>33</v>
      </c>
      <c r="G3" s="12"/>
      <c r="H3" s="12"/>
      <c r="I3" s="13"/>
      <c r="J3" s="11" t="s">
        <v>3</v>
      </c>
      <c r="K3" s="12"/>
      <c r="L3" s="12"/>
      <c r="M3" s="14"/>
      <c r="N3" s="170" t="s">
        <v>243</v>
      </c>
      <c r="O3" s="171"/>
      <c r="P3" s="171"/>
      <c r="Q3" s="172"/>
    </row>
    <row r="4" spans="1:20" ht="45" x14ac:dyDescent="0.25">
      <c r="A4" s="5" t="s">
        <v>5</v>
      </c>
      <c r="B4" s="17" t="s">
        <v>235</v>
      </c>
      <c r="C4" s="18" t="s">
        <v>135</v>
      </c>
      <c r="D4" s="18" t="s">
        <v>8</v>
      </c>
      <c r="E4" s="19" t="s">
        <v>9</v>
      </c>
      <c r="F4" s="17" t="s">
        <v>235</v>
      </c>
      <c r="G4" s="18" t="s">
        <v>135</v>
      </c>
      <c r="H4" s="18" t="s">
        <v>8</v>
      </c>
      <c r="I4" s="19" t="s">
        <v>9</v>
      </c>
      <c r="J4" s="17" t="s">
        <v>235</v>
      </c>
      <c r="K4" s="18" t="s">
        <v>135</v>
      </c>
      <c r="L4" s="18" t="s">
        <v>8</v>
      </c>
      <c r="M4" s="20" t="s">
        <v>9</v>
      </c>
      <c r="N4" s="17" t="s">
        <v>235</v>
      </c>
      <c r="O4" s="18" t="s">
        <v>135</v>
      </c>
      <c r="P4" s="18" t="s">
        <v>8</v>
      </c>
      <c r="Q4" s="19" t="s">
        <v>9</v>
      </c>
    </row>
    <row r="5" spans="1:20" x14ac:dyDescent="0.25">
      <c r="A5" s="21" t="s">
        <v>10</v>
      </c>
      <c r="B5" s="22">
        <v>103.18433073868205</v>
      </c>
      <c r="C5" s="23">
        <v>56.376669075323846</v>
      </c>
      <c r="D5" s="24">
        <v>0.54636851033224942</v>
      </c>
      <c r="E5" s="25">
        <v>22</v>
      </c>
      <c r="F5" s="22">
        <v>58.104601757139179</v>
      </c>
      <c r="G5" s="23">
        <v>60.876061301676842</v>
      </c>
      <c r="H5" s="24">
        <v>1.0476977633565339</v>
      </c>
      <c r="I5" s="25">
        <v>30</v>
      </c>
      <c r="J5" s="22">
        <v>34.895209450983486</v>
      </c>
      <c r="K5" s="23">
        <v>17.589928349185612</v>
      </c>
      <c r="L5" s="24">
        <v>0.50407860064269816</v>
      </c>
      <c r="M5" s="25">
        <v>11</v>
      </c>
      <c r="N5" s="22">
        <v>79.632992835564622</v>
      </c>
      <c r="O5" s="23">
        <v>52.973554902333184</v>
      </c>
      <c r="P5" s="24">
        <v>0.66522119809962543</v>
      </c>
      <c r="Q5" s="25">
        <v>63</v>
      </c>
      <c r="R5" s="26"/>
      <c r="S5" s="26"/>
      <c r="T5" s="26"/>
    </row>
    <row r="6" spans="1:20" x14ac:dyDescent="0.25">
      <c r="A6" s="27" t="s">
        <v>11</v>
      </c>
      <c r="B6" s="28" t="e">
        <v>#DIV/0!</v>
      </c>
      <c r="C6" s="29">
        <v>0</v>
      </c>
      <c r="D6" s="30" t="e">
        <v>#DIV/0!</v>
      </c>
      <c r="E6" s="31">
        <v>0</v>
      </c>
      <c r="F6" s="28" t="e">
        <v>#DIV/0!</v>
      </c>
      <c r="G6" s="29" t="e">
        <v>#DIV/0!</v>
      </c>
      <c r="H6" s="30" t="e">
        <v>#DIV/0!</v>
      </c>
      <c r="I6" s="31">
        <v>6</v>
      </c>
      <c r="J6" s="28">
        <v>282.89755323430205</v>
      </c>
      <c r="K6" s="29">
        <v>133.00029927986014</v>
      </c>
      <c r="L6" s="30">
        <v>0.47013591230923912</v>
      </c>
      <c r="M6" s="31">
        <v>1</v>
      </c>
      <c r="N6" s="28">
        <v>306.80409309921225</v>
      </c>
      <c r="O6" s="29">
        <v>247.67904019823871</v>
      </c>
      <c r="P6" s="30">
        <v>0.8072872747435802</v>
      </c>
      <c r="Q6" s="31">
        <v>7</v>
      </c>
      <c r="R6" s="26"/>
      <c r="S6" s="26"/>
      <c r="T6" s="26"/>
    </row>
    <row r="7" spans="1:20" x14ac:dyDescent="0.25">
      <c r="A7" s="27" t="s">
        <v>12</v>
      </c>
      <c r="B7" s="28">
        <v>271.98965722885873</v>
      </c>
      <c r="C7" s="29">
        <v>10.399046607925838</v>
      </c>
      <c r="D7" s="30">
        <v>3.8233242814728896E-2</v>
      </c>
      <c r="E7" s="31">
        <v>1</v>
      </c>
      <c r="F7" s="28">
        <v>151.92623520404578</v>
      </c>
      <c r="G7" s="29">
        <v>41.379110542102644</v>
      </c>
      <c r="H7" s="30">
        <v>0.27236316681268441</v>
      </c>
      <c r="I7" s="31">
        <v>2</v>
      </c>
      <c r="J7" s="28" t="e">
        <v>#DIV/0!</v>
      </c>
      <c r="K7" s="29" t="e">
        <v>#DIV/0!</v>
      </c>
      <c r="L7" s="30" t="e">
        <v>#DIV/0!</v>
      </c>
      <c r="M7" s="31">
        <v>0</v>
      </c>
      <c r="N7" s="28">
        <v>262.55837618997333</v>
      </c>
      <c r="O7" s="29">
        <v>18.262758438797409</v>
      </c>
      <c r="P7" s="30">
        <v>6.9556944645267932E-2</v>
      </c>
      <c r="Q7" s="31">
        <v>3</v>
      </c>
      <c r="R7" s="26"/>
      <c r="S7" s="26"/>
      <c r="T7" s="26"/>
    </row>
    <row r="8" spans="1:20" x14ac:dyDescent="0.25">
      <c r="A8" s="27" t="s">
        <v>13</v>
      </c>
      <c r="B8" s="28">
        <v>167.0927675832958</v>
      </c>
      <c r="C8" s="29">
        <v>36.950799869717486</v>
      </c>
      <c r="D8" s="30">
        <v>0.22113943292786445</v>
      </c>
      <c r="E8" s="31">
        <v>16</v>
      </c>
      <c r="F8" s="28">
        <v>202.07007142917053</v>
      </c>
      <c r="G8" s="29">
        <v>142.74918760384099</v>
      </c>
      <c r="H8" s="30">
        <v>0.70643409285811709</v>
      </c>
      <c r="I8" s="31">
        <v>6</v>
      </c>
      <c r="J8" s="28">
        <v>146.36436450140812</v>
      </c>
      <c r="K8" s="29">
        <v>76.633447697262611</v>
      </c>
      <c r="L8" s="30">
        <v>0.52357995717274031</v>
      </c>
      <c r="M8" s="31">
        <v>4</v>
      </c>
      <c r="N8" s="28">
        <v>170.88763548127486</v>
      </c>
      <c r="O8" s="29">
        <v>60.084345547099666</v>
      </c>
      <c r="P8" s="30">
        <v>0.35160147998936681</v>
      </c>
      <c r="Q8" s="31">
        <v>26</v>
      </c>
      <c r="R8" s="26"/>
      <c r="S8" s="26"/>
      <c r="T8" s="26"/>
    </row>
    <row r="9" spans="1:20" x14ac:dyDescent="0.25">
      <c r="A9" s="27" t="s">
        <v>14</v>
      </c>
      <c r="B9" s="28">
        <v>231.89258125802635</v>
      </c>
      <c r="C9" s="29">
        <v>79.598765576434772</v>
      </c>
      <c r="D9" s="30">
        <v>0.34325705956011332</v>
      </c>
      <c r="E9" s="31">
        <v>23</v>
      </c>
      <c r="F9" s="28">
        <v>89.168923844272982</v>
      </c>
      <c r="G9" s="29">
        <v>92.65459894489635</v>
      </c>
      <c r="H9" s="30">
        <v>1.0390906938241269</v>
      </c>
      <c r="I9" s="31">
        <v>12</v>
      </c>
      <c r="J9" s="28" t="e">
        <v>#DIV/0!</v>
      </c>
      <c r="K9" s="29" t="e">
        <v>#DIV/0!</v>
      </c>
      <c r="L9" s="30" t="e">
        <v>#DIV/0!</v>
      </c>
      <c r="M9" s="31">
        <v>3</v>
      </c>
      <c r="N9" s="28">
        <v>204.92599258727378</v>
      </c>
      <c r="O9" s="29">
        <v>76.498489789600555</v>
      </c>
      <c r="P9" s="30">
        <v>0.37329812984568767</v>
      </c>
      <c r="Q9" s="31">
        <v>38</v>
      </c>
      <c r="R9" s="26"/>
      <c r="S9" s="26"/>
      <c r="T9" s="26"/>
    </row>
    <row r="10" spans="1:20" x14ac:dyDescent="0.25">
      <c r="A10" s="27" t="s">
        <v>15</v>
      </c>
      <c r="B10" s="28" t="e">
        <v>#DIV/0!</v>
      </c>
      <c r="C10" s="29">
        <v>0</v>
      </c>
      <c r="D10" s="30" t="e">
        <v>#DIV/0!</v>
      </c>
      <c r="E10" s="31">
        <v>5</v>
      </c>
      <c r="F10" s="28">
        <v>110.43204398552713</v>
      </c>
      <c r="G10" s="29">
        <v>92.240720088081304</v>
      </c>
      <c r="H10" s="30">
        <v>0.835271328493839</v>
      </c>
      <c r="I10" s="31">
        <v>6</v>
      </c>
      <c r="J10" s="28" t="e">
        <v>#DIV/0!</v>
      </c>
      <c r="K10" s="29" t="e">
        <v>#DIV/0!</v>
      </c>
      <c r="L10" s="30" t="e">
        <v>#DIV/0!</v>
      </c>
      <c r="M10" s="31">
        <v>1</v>
      </c>
      <c r="N10" s="28">
        <v>238.46039558806473</v>
      </c>
      <c r="O10" s="29">
        <v>340.11384920355783</v>
      </c>
      <c r="P10" s="30">
        <v>1.4262907195335586</v>
      </c>
      <c r="Q10" s="31">
        <v>12</v>
      </c>
      <c r="R10" s="26"/>
      <c r="S10" s="26"/>
      <c r="T10" s="26"/>
    </row>
    <row r="11" spans="1:20" ht="30" x14ac:dyDescent="0.25">
      <c r="A11" s="27" t="s">
        <v>16</v>
      </c>
      <c r="B11" s="28">
        <v>120.6336411452744</v>
      </c>
      <c r="C11" s="29">
        <v>59.006781832759756</v>
      </c>
      <c r="D11" s="30">
        <v>0.48914035315986348</v>
      </c>
      <c r="E11" s="31">
        <v>6</v>
      </c>
      <c r="F11" s="28">
        <v>38.066639811218266</v>
      </c>
      <c r="G11" s="29">
        <v>52.3379656637807</v>
      </c>
      <c r="H11" s="30">
        <v>1.3749037457295263</v>
      </c>
      <c r="I11" s="31">
        <v>7</v>
      </c>
      <c r="J11" s="28" t="e">
        <v>#DIV/0!</v>
      </c>
      <c r="K11" s="29" t="e">
        <v>#DIV/0!</v>
      </c>
      <c r="L11" s="30" t="e">
        <v>#DIV/0!</v>
      </c>
      <c r="M11" s="31">
        <v>1</v>
      </c>
      <c r="N11" s="28">
        <v>49.320694790297651</v>
      </c>
      <c r="O11" s="29">
        <v>65.153953624946396</v>
      </c>
      <c r="P11" s="30">
        <v>1.3210266785974689</v>
      </c>
      <c r="Q11" s="31">
        <v>14</v>
      </c>
      <c r="R11" s="26"/>
      <c r="S11" s="26"/>
      <c r="T11" s="26"/>
    </row>
    <row r="12" spans="1:20" x14ac:dyDescent="0.25">
      <c r="A12" s="27" t="s">
        <v>17</v>
      </c>
      <c r="B12" s="28">
        <v>69.645640417782914</v>
      </c>
      <c r="C12" s="29">
        <v>103.93713954754379</v>
      </c>
      <c r="D12" s="30">
        <v>1.492371079138</v>
      </c>
      <c r="E12" s="31">
        <v>42</v>
      </c>
      <c r="F12" s="28">
        <v>22.663674473677876</v>
      </c>
      <c r="G12" s="29">
        <v>16.9471785538341</v>
      </c>
      <c r="H12" s="30">
        <v>0.74776835387028484</v>
      </c>
      <c r="I12" s="31">
        <v>46</v>
      </c>
      <c r="J12" s="28">
        <v>22.751630889449054</v>
      </c>
      <c r="K12" s="29">
        <v>10.461379182961814</v>
      </c>
      <c r="L12" s="30">
        <v>0.4598078807534286</v>
      </c>
      <c r="M12" s="31">
        <v>6</v>
      </c>
      <c r="N12" s="28">
        <v>61.5177557698374</v>
      </c>
      <c r="O12" s="29">
        <v>62.503803695266974</v>
      </c>
      <c r="P12" s="30">
        <v>1.0160286719352829</v>
      </c>
      <c r="Q12" s="31">
        <v>94</v>
      </c>
      <c r="R12" s="26"/>
      <c r="S12" s="26"/>
      <c r="T12" s="26"/>
    </row>
    <row r="13" spans="1:20" x14ac:dyDescent="0.25">
      <c r="A13" s="27" t="s">
        <v>18</v>
      </c>
      <c r="B13" s="28" t="e">
        <v>#DIV/0!</v>
      </c>
      <c r="C13" s="29">
        <v>0</v>
      </c>
      <c r="D13" s="30" t="e">
        <v>#DIV/0!</v>
      </c>
      <c r="E13" s="31">
        <v>4</v>
      </c>
      <c r="F13" s="28" t="e">
        <v>#DIV/0!</v>
      </c>
      <c r="G13" s="29" t="e">
        <v>#DIV/0!</v>
      </c>
      <c r="H13" s="30" t="e">
        <v>#DIV/0!</v>
      </c>
      <c r="I13" s="31">
        <v>9</v>
      </c>
      <c r="J13" s="28" t="e">
        <v>#DIV/0!</v>
      </c>
      <c r="K13" s="29" t="e">
        <v>#DIV/0!</v>
      </c>
      <c r="L13" s="30" t="e">
        <v>#DIV/0!</v>
      </c>
      <c r="M13" s="31">
        <v>4</v>
      </c>
      <c r="N13" s="28" t="e">
        <v>#DIV/0!</v>
      </c>
      <c r="O13" s="29" t="e">
        <v>#DIV/0!</v>
      </c>
      <c r="P13" s="30" t="e">
        <v>#DIV/0!</v>
      </c>
      <c r="Q13" s="31">
        <v>17</v>
      </c>
      <c r="R13" s="26"/>
      <c r="S13" s="26"/>
      <c r="T13" s="26"/>
    </row>
    <row r="14" spans="1:20" x14ac:dyDescent="0.25">
      <c r="A14" s="27" t="s">
        <v>19</v>
      </c>
      <c r="B14" s="32">
        <v>281.73223663622099</v>
      </c>
      <c r="C14" s="33">
        <v>86.937857474463598</v>
      </c>
      <c r="D14" s="30">
        <v>0.30858327933100432</v>
      </c>
      <c r="E14" s="31">
        <v>5</v>
      </c>
      <c r="F14" s="32">
        <v>159.39274647182242</v>
      </c>
      <c r="G14" s="33">
        <v>13.177361135423638</v>
      </c>
      <c r="H14" s="30">
        <v>8.2672276042079135E-2</v>
      </c>
      <c r="I14" s="31">
        <v>6</v>
      </c>
      <c r="J14" s="148" t="e">
        <v>#DIV/0!</v>
      </c>
      <c r="K14" s="149" t="e">
        <v>#DIV/0!</v>
      </c>
      <c r="L14" s="30" t="e">
        <v>#DIV/0!</v>
      </c>
      <c r="M14" s="31">
        <v>1</v>
      </c>
      <c r="N14" s="32">
        <v>164.66942175170428</v>
      </c>
      <c r="O14" s="33">
        <v>17.610323653388299</v>
      </c>
      <c r="P14" s="30">
        <v>0.10694349604228229</v>
      </c>
      <c r="Q14" s="31">
        <v>12</v>
      </c>
      <c r="R14" s="26"/>
      <c r="S14" s="26"/>
      <c r="T14" s="26"/>
    </row>
    <row r="15" spans="1:20" ht="15.75" thickBot="1" x14ac:dyDescent="0.3">
      <c r="A15" s="27" t="s">
        <v>20</v>
      </c>
      <c r="B15" s="32">
        <v>429.34339651262974</v>
      </c>
      <c r="C15" s="34">
        <v>53.069604279008367</v>
      </c>
      <c r="D15" s="30">
        <v>0.12360642951555736</v>
      </c>
      <c r="E15" s="31">
        <v>3</v>
      </c>
      <c r="F15" s="32" t="e">
        <v>#DIV/0!</v>
      </c>
      <c r="G15" s="34" t="e">
        <v>#DIV/0!</v>
      </c>
      <c r="H15" s="30" t="e">
        <v>#DIV/0!</v>
      </c>
      <c r="I15" s="31">
        <v>3</v>
      </c>
      <c r="J15" s="150" t="e">
        <v>#DIV/0!</v>
      </c>
      <c r="K15" s="151" t="e">
        <v>#DIV/0!</v>
      </c>
      <c r="L15" s="30" t="e">
        <v>#DIV/0!</v>
      </c>
      <c r="M15" s="31">
        <v>0</v>
      </c>
      <c r="N15" s="32">
        <v>387.02670683465499</v>
      </c>
      <c r="O15" s="34">
        <v>159.8743202261268</v>
      </c>
      <c r="P15" s="30">
        <v>0.41308343171890738</v>
      </c>
      <c r="Q15" s="31">
        <v>6</v>
      </c>
      <c r="R15" s="26"/>
      <c r="S15" s="26"/>
      <c r="T15" s="26"/>
    </row>
    <row r="16" spans="1:20" ht="24.75" customHeight="1" thickTop="1" x14ac:dyDescent="0.25">
      <c r="A16" s="35" t="s">
        <v>4</v>
      </c>
      <c r="B16" s="36">
        <v>130.31322774217628</v>
      </c>
      <c r="C16" s="37">
        <v>30.516036660182195</v>
      </c>
      <c r="D16" s="38">
        <v>0.23417451312431567</v>
      </c>
      <c r="E16" s="39">
        <v>127</v>
      </c>
      <c r="F16" s="36">
        <v>86.250295382207483</v>
      </c>
      <c r="G16" s="37">
        <v>43.528030585551448</v>
      </c>
      <c r="H16" s="38">
        <v>0.50467109002540089</v>
      </c>
      <c r="I16" s="39">
        <v>133</v>
      </c>
      <c r="J16" s="36">
        <v>46.855173625864943</v>
      </c>
      <c r="K16" s="37">
        <v>20.609639524261606</v>
      </c>
      <c r="L16" s="38">
        <v>0.439858353504952</v>
      </c>
      <c r="M16" s="39">
        <v>32</v>
      </c>
      <c r="N16" s="92">
        <v>111.94684938428662</v>
      </c>
      <c r="O16" s="37">
        <v>47.964113828832943</v>
      </c>
      <c r="P16" s="38">
        <v>0.42845434322303855</v>
      </c>
      <c r="Q16" s="39">
        <v>292</v>
      </c>
    </row>
    <row r="17" spans="1:20" ht="16.5" customHeight="1" x14ac:dyDescent="0.25">
      <c r="A17" s="40"/>
      <c r="B17" s="41"/>
      <c r="C17" s="41"/>
      <c r="D17" s="41"/>
      <c r="E17" s="41"/>
      <c r="F17" s="41"/>
      <c r="G17" s="41"/>
      <c r="H17" s="41"/>
      <c r="I17" s="41"/>
      <c r="J17" s="41"/>
      <c r="K17" s="41"/>
      <c r="L17" s="41"/>
      <c r="M17" s="41"/>
      <c r="N17" s="41"/>
      <c r="O17" s="41"/>
      <c r="P17" s="41"/>
      <c r="Q17" s="41"/>
    </row>
    <row r="18" spans="1:20" ht="45" x14ac:dyDescent="0.25">
      <c r="A18" s="5" t="s">
        <v>45</v>
      </c>
      <c r="B18" s="17" t="s">
        <v>235</v>
      </c>
      <c r="C18" s="18" t="s">
        <v>135</v>
      </c>
      <c r="D18" s="18" t="s">
        <v>8</v>
      </c>
      <c r="E18" s="19" t="s">
        <v>9</v>
      </c>
      <c r="F18" s="17" t="s">
        <v>235</v>
      </c>
      <c r="G18" s="18" t="s">
        <v>135</v>
      </c>
      <c r="H18" s="18" t="s">
        <v>8</v>
      </c>
      <c r="I18" s="19" t="s">
        <v>9</v>
      </c>
      <c r="J18" s="17" t="s">
        <v>235</v>
      </c>
      <c r="K18" s="18" t="s">
        <v>135</v>
      </c>
      <c r="L18" s="18" t="s">
        <v>8</v>
      </c>
      <c r="M18" s="20" t="s">
        <v>9</v>
      </c>
      <c r="N18" s="17" t="s">
        <v>235</v>
      </c>
      <c r="O18" s="18" t="s">
        <v>135</v>
      </c>
      <c r="P18" s="18" t="s">
        <v>8</v>
      </c>
      <c r="Q18" s="19" t="s">
        <v>9</v>
      </c>
    </row>
    <row r="19" spans="1:20" x14ac:dyDescent="0.25">
      <c r="A19" s="50" t="s">
        <v>22</v>
      </c>
      <c r="B19" s="22">
        <v>202.09203264508935</v>
      </c>
      <c r="C19" s="23">
        <v>27.624283834216566</v>
      </c>
      <c r="D19" s="24">
        <v>0.13669160269534164</v>
      </c>
      <c r="E19" s="25">
        <v>77</v>
      </c>
      <c r="F19" s="22">
        <v>79.645606297703637</v>
      </c>
      <c r="G19" s="23">
        <v>58.446313881060561</v>
      </c>
      <c r="H19" s="24">
        <v>0.73382973145557817</v>
      </c>
      <c r="I19" s="25">
        <v>78</v>
      </c>
      <c r="J19" s="22">
        <v>48.44519683715621</v>
      </c>
      <c r="K19" s="23">
        <v>22.437008198489934</v>
      </c>
      <c r="L19" s="24">
        <v>0.46314205872482556</v>
      </c>
      <c r="M19" s="25">
        <v>25</v>
      </c>
      <c r="N19" s="22">
        <v>139.65178840056447</v>
      </c>
      <c r="O19" s="23">
        <v>66.232294110492404</v>
      </c>
      <c r="P19" s="24">
        <v>0.4742674252084601</v>
      </c>
      <c r="Q19" s="25">
        <v>180</v>
      </c>
      <c r="R19" s="26"/>
      <c r="S19" s="26"/>
      <c r="T19" s="26"/>
    </row>
    <row r="20" spans="1:20" ht="15.75" thickBot="1" x14ac:dyDescent="0.3">
      <c r="A20" s="51" t="s">
        <v>23</v>
      </c>
      <c r="B20" s="28">
        <v>82.979560081105717</v>
      </c>
      <c r="C20" s="29">
        <v>79.546821965583277</v>
      </c>
      <c r="D20" s="30">
        <v>0.95863152188120515</v>
      </c>
      <c r="E20" s="31">
        <v>50</v>
      </c>
      <c r="F20" s="28">
        <v>95.547747572924678</v>
      </c>
      <c r="G20" s="29">
        <v>74.468354423653906</v>
      </c>
      <c r="H20" s="30">
        <v>0.77938367272151132</v>
      </c>
      <c r="I20" s="31">
        <v>55</v>
      </c>
      <c r="J20" s="28">
        <v>26.897948435921947</v>
      </c>
      <c r="K20" s="29">
        <v>10.916590125252752</v>
      </c>
      <c r="L20" s="30">
        <v>0.40585214709809436</v>
      </c>
      <c r="M20" s="31">
        <v>7</v>
      </c>
      <c r="N20" s="28">
        <v>86.181317166515711</v>
      </c>
      <c r="O20" s="29">
        <v>63.268350154101718</v>
      </c>
      <c r="P20" s="30">
        <v>0.73413069368454209</v>
      </c>
      <c r="Q20" s="31">
        <v>112</v>
      </c>
      <c r="R20" s="26"/>
      <c r="S20" s="26"/>
      <c r="T20" s="26"/>
    </row>
    <row r="21" spans="1:20" ht="24.75" customHeight="1" thickTop="1" x14ac:dyDescent="0.25">
      <c r="A21" s="35" t="s">
        <v>4</v>
      </c>
      <c r="B21" s="36">
        <v>130.31322774217628</v>
      </c>
      <c r="C21" s="37">
        <v>30.516036660182195</v>
      </c>
      <c r="D21" s="38">
        <v>0.23417451312431567</v>
      </c>
      <c r="E21" s="39">
        <v>127</v>
      </c>
      <c r="F21" s="36">
        <v>86.250295382207483</v>
      </c>
      <c r="G21" s="37">
        <v>43.528030585551448</v>
      </c>
      <c r="H21" s="38">
        <v>0.50467109002540089</v>
      </c>
      <c r="I21" s="39">
        <v>133</v>
      </c>
      <c r="J21" s="36">
        <v>46.855173625864943</v>
      </c>
      <c r="K21" s="37">
        <v>20.609639524261606</v>
      </c>
      <c r="L21" s="38">
        <v>0.439858353504952</v>
      </c>
      <c r="M21" s="39">
        <v>32</v>
      </c>
      <c r="N21" s="92">
        <v>111.94684938428662</v>
      </c>
      <c r="O21" s="37">
        <v>47.964113828832943</v>
      </c>
      <c r="P21" s="38">
        <v>0.42845434322303855</v>
      </c>
      <c r="Q21" s="39">
        <v>292</v>
      </c>
    </row>
    <row r="22" spans="1:20" ht="16.5" customHeight="1" x14ac:dyDescent="0.25">
      <c r="A22" s="40"/>
      <c r="B22" s="41"/>
      <c r="C22" s="41"/>
      <c r="D22" s="41"/>
      <c r="E22" s="41"/>
      <c r="F22" s="41"/>
      <c r="G22" s="41"/>
      <c r="H22" s="41"/>
      <c r="I22" s="41"/>
      <c r="J22" s="41"/>
      <c r="K22" s="41"/>
      <c r="L22" s="41"/>
      <c r="M22" s="41"/>
      <c r="N22" s="41"/>
      <c r="O22" s="41"/>
      <c r="P22" s="41"/>
      <c r="Q22" s="41"/>
    </row>
    <row r="23" spans="1:20" x14ac:dyDescent="0.25">
      <c r="A23" s="40" t="s">
        <v>236</v>
      </c>
      <c r="B23" s="44" t="s">
        <v>26</v>
      </c>
      <c r="C23" s="4" t="s">
        <v>110</v>
      </c>
    </row>
    <row r="24" spans="1:20" x14ac:dyDescent="0.25">
      <c r="A24" s="40"/>
      <c r="B24" s="45" t="s">
        <v>26</v>
      </c>
      <c r="C24" s="4" t="s">
        <v>29</v>
      </c>
    </row>
    <row r="25" spans="1:20" x14ac:dyDescent="0.25">
      <c r="A25" s="154" t="s">
        <v>240</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mergeCells count="2">
    <mergeCell ref="N2:Q2"/>
    <mergeCell ref="N3:Q3"/>
  </mergeCells>
  <conditionalFormatting sqref="M5:M15">
    <cfRule type="expression" dxfId="35" priority="36">
      <formula>M5&lt;=1</formula>
    </cfRule>
  </conditionalFormatting>
  <conditionalFormatting sqref="L5:L15 L19:L20 H19:H20 D19:D20 P19:P20">
    <cfRule type="expression" dxfId="34" priority="32">
      <formula>OR(D5&gt;=0.5,E5&lt;=5)</formula>
    </cfRule>
    <cfRule type="expression" dxfId="33" priority="35">
      <formula>E5&lt;=1</formula>
    </cfRule>
  </conditionalFormatting>
  <conditionalFormatting sqref="K5:K15 K19:K20 G19:G20 C19:C20 O19:O20">
    <cfRule type="expression" dxfId="32" priority="31">
      <formula>OR(D5&gt;=0.5,E5&lt;=5)</formula>
    </cfRule>
    <cfRule type="expression" dxfId="31" priority="34">
      <formula>E5&lt;=1</formula>
    </cfRule>
  </conditionalFormatting>
  <conditionalFormatting sqref="J5:J15 J19:J20">
    <cfRule type="expression" dxfId="30" priority="30">
      <formula>OR(L5&gt;=0.5,M5&lt;=5)</formula>
    </cfRule>
    <cfRule type="expression" dxfId="29" priority="33">
      <formula>M5&lt;=1</formula>
    </cfRule>
  </conditionalFormatting>
  <conditionalFormatting sqref="I5:I15">
    <cfRule type="expression" dxfId="28" priority="29">
      <formula>I5&lt;=1</formula>
    </cfRule>
  </conditionalFormatting>
  <conditionalFormatting sqref="H5:H15">
    <cfRule type="expression" dxfId="27" priority="25">
      <formula>OR(H5&gt;=0.5,I5&lt;=5)</formula>
    </cfRule>
    <cfRule type="expression" dxfId="26" priority="28">
      <formula>I5&lt;=1</formula>
    </cfRule>
  </conditionalFormatting>
  <conditionalFormatting sqref="G6:G15">
    <cfRule type="expression" dxfId="25" priority="24">
      <formula>OR(H6&gt;=0.5,I6&lt;=5)</formula>
    </cfRule>
    <cfRule type="expression" dxfId="24" priority="27">
      <formula>I6&lt;=1</formula>
    </cfRule>
  </conditionalFormatting>
  <conditionalFormatting sqref="F6:F15 F19:F20 B19:B20 N19:N20">
    <cfRule type="expression" dxfId="23" priority="23">
      <formula>OR(D6&gt;=0.5,E6&lt;=5)</formula>
    </cfRule>
    <cfRule type="expression" dxfId="22" priority="26">
      <formula>E6&lt;=1</formula>
    </cfRule>
  </conditionalFormatting>
  <conditionalFormatting sqref="E5:E15">
    <cfRule type="expression" dxfId="21" priority="22">
      <formula>E5&lt;=1</formula>
    </cfRule>
  </conditionalFormatting>
  <conditionalFormatting sqref="D5:D15">
    <cfRule type="expression" dxfId="20" priority="18">
      <formula>OR(D5&gt;=0.5,E5&lt;=5)</formula>
    </cfRule>
    <cfRule type="expression" dxfId="19" priority="21">
      <formula>E5&lt;=1</formula>
    </cfRule>
  </conditionalFormatting>
  <conditionalFormatting sqref="C5:C15">
    <cfRule type="expression" dxfId="18" priority="17">
      <formula>OR(D5&gt;=0.5,E5&lt;=5)</formula>
    </cfRule>
    <cfRule type="expression" dxfId="17" priority="20">
      <formula>E5&lt;=1</formula>
    </cfRule>
  </conditionalFormatting>
  <conditionalFormatting sqref="B5:B15">
    <cfRule type="expression" dxfId="16" priority="16">
      <formula>OR(D5&gt;=0.5,E5&lt;=5)</formula>
    </cfRule>
    <cfRule type="expression" dxfId="15" priority="19">
      <formula>E5&lt;=1</formula>
    </cfRule>
  </conditionalFormatting>
  <conditionalFormatting sqref="Q5:Q15">
    <cfRule type="expression" dxfId="14" priority="15">
      <formula>Q5&lt;=1</formula>
    </cfRule>
  </conditionalFormatting>
  <conditionalFormatting sqref="P5:P15">
    <cfRule type="expression" dxfId="13" priority="11">
      <formula>OR(P5&gt;=0.5,Q5&lt;=5)</formula>
    </cfRule>
    <cfRule type="expression" dxfId="12" priority="14">
      <formula>Q5&lt;=1</formula>
    </cfRule>
  </conditionalFormatting>
  <conditionalFormatting sqref="O5:O15">
    <cfRule type="expression" dxfId="11" priority="10">
      <formula>OR(P5&gt;=0.5,Q5&lt;=5)</formula>
    </cfRule>
    <cfRule type="expression" dxfId="10" priority="13">
      <formula>Q5&lt;=1</formula>
    </cfRule>
  </conditionalFormatting>
  <conditionalFormatting sqref="N5:N15">
    <cfRule type="expression" dxfId="9" priority="9">
      <formula>OR(P5&gt;=0.5,Q5&lt;=5)</formula>
    </cfRule>
    <cfRule type="expression" dxfId="8" priority="12">
      <formula>Q5&lt;=1</formula>
    </cfRule>
  </conditionalFormatting>
  <conditionalFormatting sqref="M19:M20">
    <cfRule type="expression" dxfId="7" priority="8">
      <formula>M19&lt;=1</formula>
    </cfRule>
  </conditionalFormatting>
  <conditionalFormatting sqref="I19:I20">
    <cfRule type="expression" dxfId="6" priority="7">
      <formula>I19&lt;=1</formula>
    </cfRule>
  </conditionalFormatting>
  <conditionalFormatting sqref="E19:E20">
    <cfRule type="expression" dxfId="5" priority="6">
      <formula>E19&lt;=1</formula>
    </cfRule>
  </conditionalFormatting>
  <conditionalFormatting sqref="Q19:Q20">
    <cfRule type="expression" dxfId="4" priority="5">
      <formula>Q19&lt;=1</formula>
    </cfRule>
  </conditionalFormatting>
  <conditionalFormatting sqref="G5">
    <cfRule type="expression" dxfId="3" priority="2">
      <formula>OR(H5&gt;=0.5,I5&lt;=5)</formula>
    </cfRule>
    <cfRule type="expression" dxfId="2" priority="4">
      <formula>I5&lt;=1</formula>
    </cfRule>
  </conditionalFormatting>
  <conditionalFormatting sqref="F5">
    <cfRule type="expression" dxfId="1" priority="1">
      <formula>OR(H5&gt;=0.5,I5&lt;=5)</formula>
    </cfRule>
    <cfRule type="expression" dxfId="0" priority="3">
      <formula>I5&lt;=1</formula>
    </cfRule>
  </conditionalFormatting>
  <hyperlinks>
    <hyperlink ref="A25" location="Überblick!A1" display="zurück zur Übersicht" xr:uid="{873A7EA3-C56D-4B65-9B54-4BE26151F17C}"/>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29</vt:i4>
      </vt:variant>
    </vt:vector>
  </HeadingPairs>
  <TitlesOfParts>
    <vt:vector size="29" baseType="lpstr">
      <vt:lpstr>NWG-Typologie</vt:lpstr>
      <vt:lpstr>Überblick</vt:lpstr>
      <vt:lpstr>Anzahl_NWG</vt:lpstr>
      <vt:lpstr>Anzahl_fossil_elt</vt:lpstr>
      <vt:lpstr>NRF</vt:lpstr>
      <vt:lpstr>EBF</vt:lpstr>
      <vt:lpstr>EBF_fossil_elt</vt:lpstr>
      <vt:lpstr>maxP</vt:lpstr>
      <vt:lpstr>ober_BV</vt:lpstr>
      <vt:lpstr>HOEHE</vt:lpstr>
      <vt:lpstr>F_fl</vt:lpstr>
      <vt:lpstr>AW_fl</vt:lpstr>
      <vt:lpstr>unterAW_fl</vt:lpstr>
      <vt:lpstr>Fen_fl</vt:lpstr>
      <vt:lpstr>WUEOA_opak_fl</vt:lpstr>
      <vt:lpstr>WUEOA_transp_fl</vt:lpstr>
      <vt:lpstr>WUEUA_fl</vt:lpstr>
      <vt:lpstr>U_AW_mfl</vt:lpstr>
      <vt:lpstr>U_Fen_mfl</vt:lpstr>
      <vt:lpstr>U_d_opak_mfl</vt:lpstr>
      <vt:lpstr>U_d_transp_mfl</vt:lpstr>
      <vt:lpstr>U_ug_mfl</vt:lpstr>
      <vt:lpstr>u_geb_mfl</vt:lpstr>
      <vt:lpstr>e_Werz_mI</vt:lpstr>
      <vt:lpstr>e_Werz_elt_mI</vt:lpstr>
      <vt:lpstr>e_Werz_fossil_mI</vt:lpstr>
      <vt:lpstr>q-d-spez_mI</vt:lpstr>
      <vt:lpstr>q-d-spez-fossil_mI</vt:lpstr>
      <vt:lpstr>q-d-spez-elt_mI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Hörner</dc:creator>
  <cp:lastModifiedBy>D17128779 Julian Bischof</cp:lastModifiedBy>
  <dcterms:created xsi:type="dcterms:W3CDTF">2022-07-27T10:07:08Z</dcterms:created>
  <dcterms:modified xsi:type="dcterms:W3CDTF">2023-11-24T08:04:10Z</dcterms:modified>
</cp:coreProperties>
</file>